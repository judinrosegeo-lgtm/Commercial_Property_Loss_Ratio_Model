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Commercial_Property_Loss_Ratio_Model\"/>
    </mc:Choice>
  </mc:AlternateContent>
  <xr:revisionPtr revIDLastSave="0" documentId="13_ncr:1_{14A370E7-58BA-4506-80C0-B92EFD2F719A}" xr6:coauthVersionLast="47" xr6:coauthVersionMax="47" xr10:uidLastSave="{00000000-0000-0000-0000-000000000000}"/>
  <bookViews>
    <workbookView xWindow="-108" yWindow="-108" windowWidth="23256" windowHeight="12456" xr2:uid="{00000000-000D-0000-FFFF-FFFF00000000}"/>
  </bookViews>
  <sheets>
    <sheet name="README" sheetId="1" r:id="rId1"/>
    <sheet name="Inputs" sheetId="2" r:id="rId2"/>
    <sheet name="LR_Model" sheetId="3" r:id="rId3"/>
    <sheet name="Line_Comparison_2022" sheetId="4" r:id="rId4"/>
    <sheet name="Benchmarks" sheetId="5" r:id="rId5"/>
    <sheet name="Calculator" sheetId="6" r:id="rId6"/>
    <sheet name="Triangle_Data" sheetId="7" r:id="rId7"/>
    <sheet name="Chain_Ladder" sheetId="8" r:id="rId8"/>
    <sheet name="Reserve_Summary" sheetId="9" r:id="rId9"/>
    <sheet name="Queri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9" l="1"/>
  <c r="D17" i="9"/>
  <c r="E17" i="9" s="1"/>
  <c r="C17" i="9"/>
  <c r="A17" i="9"/>
  <c r="D16" i="9"/>
  <c r="C16" i="9"/>
  <c r="A16" i="9"/>
  <c r="D15" i="9"/>
  <c r="C15" i="9"/>
  <c r="A15" i="9"/>
  <c r="D14" i="9"/>
  <c r="C14" i="9"/>
  <c r="A14" i="9"/>
  <c r="D13" i="9"/>
  <c r="C13" i="9"/>
  <c r="A13" i="9"/>
  <c r="D12" i="9"/>
  <c r="C12" i="9"/>
  <c r="A12" i="9"/>
  <c r="D11" i="9"/>
  <c r="E11" i="9" s="1"/>
  <c r="C11" i="9"/>
  <c r="A11" i="9"/>
  <c r="D10" i="9"/>
  <c r="E10" i="9" s="1"/>
  <c r="C10" i="9"/>
  <c r="A10" i="9"/>
  <c r="D9" i="9"/>
  <c r="C9" i="9"/>
  <c r="A9" i="9"/>
  <c r="D8" i="9"/>
  <c r="D18" i="9" s="1"/>
  <c r="C8" i="9"/>
  <c r="A8" i="9"/>
  <c r="K47" i="8"/>
  <c r="K48" i="8" s="1"/>
  <c r="K46" i="8"/>
  <c r="I46" i="8"/>
  <c r="J45" i="8"/>
  <c r="I45" i="8"/>
  <c r="H45" i="8"/>
  <c r="G45" i="8"/>
  <c r="F45" i="8"/>
  <c r="E45" i="8"/>
  <c r="D45" i="8"/>
  <c r="C45" i="8"/>
  <c r="B45" i="8"/>
  <c r="J44" i="8"/>
  <c r="I44" i="8"/>
  <c r="H44" i="8"/>
  <c r="G44" i="8"/>
  <c r="F44" i="8"/>
  <c r="E44" i="8"/>
  <c r="D44" i="8"/>
  <c r="C44" i="8"/>
  <c r="B44" i="8"/>
  <c r="J43" i="8"/>
  <c r="J46" i="8" s="1"/>
  <c r="J47" i="8" s="1"/>
  <c r="H9" i="9" s="1"/>
  <c r="I43" i="8"/>
  <c r="H43" i="8"/>
  <c r="H46" i="8" s="1"/>
  <c r="G43" i="8"/>
  <c r="G46" i="8" s="1"/>
  <c r="F43" i="8"/>
  <c r="F46" i="8" s="1"/>
  <c r="E43" i="8"/>
  <c r="E46" i="8" s="1"/>
  <c r="D43" i="8"/>
  <c r="D46" i="8" s="1"/>
  <c r="C43" i="8"/>
  <c r="C46" i="8" s="1"/>
  <c r="B43" i="8"/>
  <c r="B46" i="8" s="1"/>
  <c r="A40" i="8"/>
  <c r="B39" i="8"/>
  <c r="A39" i="8"/>
  <c r="C38" i="8"/>
  <c r="B38" i="8"/>
  <c r="A38" i="8"/>
  <c r="D37" i="8"/>
  <c r="C37" i="8"/>
  <c r="B37" i="8"/>
  <c r="A37" i="8"/>
  <c r="E36" i="8"/>
  <c r="D36" i="8"/>
  <c r="C36" i="8"/>
  <c r="B36" i="8"/>
  <c r="A36" i="8"/>
  <c r="F35" i="8"/>
  <c r="E35" i="8"/>
  <c r="D35" i="8"/>
  <c r="C35" i="8"/>
  <c r="B35" i="8"/>
  <c r="A35" i="8"/>
  <c r="G34" i="8"/>
  <c r="F34" i="8"/>
  <c r="E34" i="8"/>
  <c r="D34" i="8"/>
  <c r="C34" i="8"/>
  <c r="B34" i="8"/>
  <c r="A34" i="8"/>
  <c r="H33" i="8"/>
  <c r="H42" i="8" s="1"/>
  <c r="G33" i="8"/>
  <c r="F33" i="8"/>
  <c r="E33" i="8"/>
  <c r="D33" i="8"/>
  <c r="C33" i="8"/>
  <c r="B33" i="8"/>
  <c r="A33" i="8"/>
  <c r="I32" i="8"/>
  <c r="H32" i="8"/>
  <c r="G32" i="8"/>
  <c r="F32" i="8"/>
  <c r="E32" i="8"/>
  <c r="E42" i="8" s="1"/>
  <c r="D32" i="8"/>
  <c r="C32" i="8"/>
  <c r="B32" i="8"/>
  <c r="A32" i="8"/>
  <c r="J31" i="8"/>
  <c r="J42" i="8" s="1"/>
  <c r="I31" i="8"/>
  <c r="H31" i="8"/>
  <c r="G31" i="8"/>
  <c r="G42" i="8" s="1"/>
  <c r="F31" i="8"/>
  <c r="E31" i="8"/>
  <c r="D31" i="8"/>
  <c r="C31" i="8"/>
  <c r="C42" i="8" s="1"/>
  <c r="B31" i="8"/>
  <c r="A31" i="8"/>
  <c r="K25" i="8"/>
  <c r="K26" i="8" s="1"/>
  <c r="G8" i="9" s="1"/>
  <c r="B25" i="8"/>
  <c r="J24" i="8"/>
  <c r="I24" i="8"/>
  <c r="H24" i="8"/>
  <c r="G24" i="8"/>
  <c r="F24" i="8"/>
  <c r="E24" i="8"/>
  <c r="D24" i="8"/>
  <c r="C24" i="8"/>
  <c r="B24" i="8"/>
  <c r="J23" i="8"/>
  <c r="I23" i="8"/>
  <c r="H23" i="8"/>
  <c r="G23" i="8"/>
  <c r="F23" i="8"/>
  <c r="E23" i="8"/>
  <c r="D23" i="8"/>
  <c r="C23" i="8"/>
  <c r="B23" i="8"/>
  <c r="J22" i="8"/>
  <c r="J25" i="8" s="1"/>
  <c r="I22" i="8"/>
  <c r="I25" i="8" s="1"/>
  <c r="H22" i="8"/>
  <c r="H25" i="8" s="1"/>
  <c r="G22" i="8"/>
  <c r="G25" i="8" s="1"/>
  <c r="F22" i="8"/>
  <c r="F25" i="8" s="1"/>
  <c r="E22" i="8"/>
  <c r="E25" i="8" s="1"/>
  <c r="D22" i="8"/>
  <c r="D25" i="8" s="1"/>
  <c r="C22" i="8"/>
  <c r="C25" i="8" s="1"/>
  <c r="B22" i="8"/>
  <c r="I21" i="8"/>
  <c r="A19" i="8"/>
  <c r="B18" i="8"/>
  <c r="A18" i="8"/>
  <c r="C17" i="8"/>
  <c r="B17" i="8"/>
  <c r="A17" i="8"/>
  <c r="D16" i="8"/>
  <c r="C16" i="8"/>
  <c r="B16" i="8"/>
  <c r="A16" i="8"/>
  <c r="E15" i="8"/>
  <c r="D15" i="8"/>
  <c r="C15" i="8"/>
  <c r="B15" i="8"/>
  <c r="A15" i="8"/>
  <c r="F14" i="8"/>
  <c r="E14" i="8"/>
  <c r="D14" i="8"/>
  <c r="C14" i="8"/>
  <c r="B14" i="8"/>
  <c r="A14" i="8"/>
  <c r="G13" i="8"/>
  <c r="F13" i="8"/>
  <c r="E13" i="8"/>
  <c r="D13" i="8"/>
  <c r="C13" i="8"/>
  <c r="B13" i="8"/>
  <c r="A13" i="8"/>
  <c r="H12" i="8"/>
  <c r="G12" i="8"/>
  <c r="F12" i="8"/>
  <c r="E12" i="8"/>
  <c r="D12" i="8"/>
  <c r="C12" i="8"/>
  <c r="B12" i="8"/>
  <c r="A12" i="8"/>
  <c r="I11" i="8"/>
  <c r="H11" i="8"/>
  <c r="G11" i="8"/>
  <c r="F11" i="8"/>
  <c r="E11" i="8"/>
  <c r="D11" i="8"/>
  <c r="C11" i="8"/>
  <c r="B11" i="8"/>
  <c r="A11" i="8"/>
  <c r="J10" i="8"/>
  <c r="J21" i="8" s="1"/>
  <c r="I10" i="8"/>
  <c r="H10" i="8"/>
  <c r="H21" i="8" s="1"/>
  <c r="G10" i="8"/>
  <c r="F10" i="8"/>
  <c r="E10" i="8"/>
  <c r="D10" i="8"/>
  <c r="C10" i="8"/>
  <c r="B10" i="8"/>
  <c r="B21" i="8" s="1"/>
  <c r="A10" i="8"/>
  <c r="B42" i="7"/>
  <c r="C41" i="7"/>
  <c r="B41" i="7"/>
  <c r="D40" i="7"/>
  <c r="C40" i="7"/>
  <c r="B40" i="7"/>
  <c r="E39" i="7"/>
  <c r="D39" i="7"/>
  <c r="C39" i="7"/>
  <c r="B39" i="7"/>
  <c r="F38" i="7"/>
  <c r="E38" i="7"/>
  <c r="D38" i="7"/>
  <c r="C38" i="7"/>
  <c r="B38" i="7"/>
  <c r="G37" i="7"/>
  <c r="F37" i="7"/>
  <c r="E37" i="7"/>
  <c r="D37" i="7"/>
  <c r="C37" i="7"/>
  <c r="B37" i="7"/>
  <c r="H36" i="7"/>
  <c r="G36" i="7"/>
  <c r="F36" i="7"/>
  <c r="E36" i="7"/>
  <c r="D36" i="7"/>
  <c r="C36" i="7"/>
  <c r="B36" i="7"/>
  <c r="I35" i="7"/>
  <c r="H35" i="7"/>
  <c r="G35" i="7"/>
  <c r="F35" i="7"/>
  <c r="E35" i="7"/>
  <c r="D35" i="7"/>
  <c r="C35" i="7"/>
  <c r="B35" i="7"/>
  <c r="J34" i="7"/>
  <c r="I34" i="7"/>
  <c r="H34" i="7"/>
  <c r="G34" i="7"/>
  <c r="F34" i="7"/>
  <c r="E34" i="7"/>
  <c r="D34" i="7"/>
  <c r="C34" i="7"/>
  <c r="B34" i="7"/>
  <c r="K33" i="7"/>
  <c r="J33" i="7"/>
  <c r="I33" i="7"/>
  <c r="H33" i="7"/>
  <c r="G33" i="7"/>
  <c r="F33" i="7"/>
  <c r="E33" i="7"/>
  <c r="D33" i="7"/>
  <c r="C33" i="7"/>
  <c r="B33" i="7"/>
  <c r="C21" i="6"/>
  <c r="C15" i="6"/>
  <c r="C12" i="6"/>
  <c r="C16" i="6" s="1"/>
  <c r="C22" i="6" s="1"/>
  <c r="C9" i="6"/>
  <c r="C14" i="6" s="1"/>
  <c r="F14" i="4"/>
  <c r="E14" i="4"/>
  <c r="C14" i="4"/>
  <c r="B14" i="4"/>
  <c r="G13" i="4"/>
  <c r="D13" i="4"/>
  <c r="F12" i="4"/>
  <c r="E12" i="4"/>
  <c r="C12" i="4"/>
  <c r="B12" i="4"/>
  <c r="D12" i="4" s="1"/>
  <c r="G11" i="4"/>
  <c r="D11" i="4"/>
  <c r="G10" i="4"/>
  <c r="D10" i="4"/>
  <c r="G9" i="4"/>
  <c r="H9" i="4" s="1"/>
  <c r="D9" i="4"/>
  <c r="G8" i="4"/>
  <c r="D8" i="4"/>
  <c r="G7" i="4"/>
  <c r="D7" i="4"/>
  <c r="G6" i="4"/>
  <c r="D6" i="4"/>
  <c r="G5" i="4"/>
  <c r="D5" i="4"/>
  <c r="B20" i="1"/>
  <c r="B19" i="1"/>
  <c r="E17" i="3"/>
  <c r="C17" i="3"/>
  <c r="B17" i="3"/>
  <c r="A17" i="3"/>
  <c r="J16" i="3"/>
  <c r="E16" i="3"/>
  <c r="C16" i="3"/>
  <c r="B16" i="3"/>
  <c r="A16" i="3"/>
  <c r="E15" i="3"/>
  <c r="C15" i="3"/>
  <c r="B15" i="3"/>
  <c r="A15" i="3"/>
  <c r="F14" i="3"/>
  <c r="E14" i="3"/>
  <c r="C14" i="3"/>
  <c r="B14" i="3"/>
  <c r="A14" i="3"/>
  <c r="E13" i="3"/>
  <c r="C13" i="3"/>
  <c r="B13" i="3"/>
  <c r="A13" i="3"/>
  <c r="E12" i="3"/>
  <c r="C12" i="3"/>
  <c r="B12" i="3"/>
  <c r="D12" i="3" s="1"/>
  <c r="A12" i="3"/>
  <c r="J11" i="3"/>
  <c r="E11" i="3"/>
  <c r="C11" i="3"/>
  <c r="B11" i="3"/>
  <c r="A11" i="3"/>
  <c r="E10" i="3"/>
  <c r="C10" i="3"/>
  <c r="B10" i="3"/>
  <c r="A10" i="3"/>
  <c r="E9" i="3"/>
  <c r="F9" i="3" s="1"/>
  <c r="G9" i="3" s="1"/>
  <c r="I9" i="3" s="1"/>
  <c r="C9" i="3"/>
  <c r="B9" i="3"/>
  <c r="A9" i="3"/>
  <c r="E8" i="3"/>
  <c r="C8" i="3"/>
  <c r="B8" i="3"/>
  <c r="A8" i="3"/>
  <c r="E7" i="3"/>
  <c r="F7" i="3" s="1"/>
  <c r="C7" i="3"/>
  <c r="B7" i="3"/>
  <c r="A7" i="3"/>
  <c r="J6" i="3"/>
  <c r="E6" i="3"/>
  <c r="C6" i="3"/>
  <c r="B6" i="3"/>
  <c r="A6" i="3"/>
  <c r="G3" i="3"/>
  <c r="J15" i="3" s="1"/>
  <c r="E3" i="3"/>
  <c r="F16" i="3" s="1"/>
  <c r="G16" i="3" s="1"/>
  <c r="C3" i="3"/>
  <c r="E13" i="9" l="1"/>
  <c r="H7" i="4"/>
  <c r="H8" i="4"/>
  <c r="E16" i="9"/>
  <c r="H11" i="4"/>
  <c r="F21" i="8"/>
  <c r="E21" i="8"/>
  <c r="J26" i="8"/>
  <c r="I26" i="8" s="1"/>
  <c r="D13" i="3"/>
  <c r="D8" i="3"/>
  <c r="B8" i="9" s="1"/>
  <c r="K8" i="9" s="1"/>
  <c r="D11" i="3"/>
  <c r="B11" i="9" s="1"/>
  <c r="D14" i="3"/>
  <c r="B14" i="9" s="1"/>
  <c r="H5" i="4"/>
  <c r="C21" i="8"/>
  <c r="E8" i="9"/>
  <c r="I16" i="3"/>
  <c r="J12" i="3"/>
  <c r="F15" i="3"/>
  <c r="G15" i="3" s="1"/>
  <c r="I15" i="3" s="1"/>
  <c r="H6" i="4"/>
  <c r="D21" i="8"/>
  <c r="I42" i="8"/>
  <c r="H8" i="9"/>
  <c r="J8" i="9" s="1"/>
  <c r="D7" i="3"/>
  <c r="J8" i="3"/>
  <c r="F11" i="3"/>
  <c r="G11" i="3" s="1"/>
  <c r="H11" i="3" s="1"/>
  <c r="G14" i="3"/>
  <c r="G12" i="4"/>
  <c r="H12" i="4" s="1"/>
  <c r="B42" i="8"/>
  <c r="D17" i="3"/>
  <c r="B17" i="9"/>
  <c r="I47" i="8"/>
  <c r="H47" i="8" s="1"/>
  <c r="B18" i="3"/>
  <c r="F10" i="3"/>
  <c r="G10" i="3" s="1"/>
  <c r="I10" i="3" s="1"/>
  <c r="J14" i="3"/>
  <c r="F17" i="3"/>
  <c r="G17" i="3" s="1"/>
  <c r="H17" i="3" s="1"/>
  <c r="H10" i="4"/>
  <c r="G21" i="8"/>
  <c r="E9" i="9"/>
  <c r="B12" i="9"/>
  <c r="E14" i="9"/>
  <c r="G7" i="3"/>
  <c r="I7" i="3" s="1"/>
  <c r="C18" i="3"/>
  <c r="F13" i="3"/>
  <c r="G13" i="3" s="1"/>
  <c r="I13" i="3" s="1"/>
  <c r="D16" i="3"/>
  <c r="H16" i="3" s="1"/>
  <c r="H13" i="4"/>
  <c r="F6" i="3"/>
  <c r="G6" i="3" s="1"/>
  <c r="D9" i="3"/>
  <c r="B9" i="9" s="1"/>
  <c r="K9" i="9" s="1"/>
  <c r="J10" i="3"/>
  <c r="J13" i="3"/>
  <c r="F42" i="8"/>
  <c r="D42" i="8"/>
  <c r="C18" i="9"/>
  <c r="E12" i="9"/>
  <c r="E15" i="9"/>
  <c r="I48" i="8"/>
  <c r="H10" i="9"/>
  <c r="J10" i="9" s="1"/>
  <c r="L10" i="9" s="1"/>
  <c r="I17" i="3"/>
  <c r="B15" i="9"/>
  <c r="J27" i="8"/>
  <c r="G9" i="9"/>
  <c r="I9" i="9" s="1"/>
  <c r="E25" i="9"/>
  <c r="K27" i="8"/>
  <c r="J48" i="8"/>
  <c r="F8" i="3"/>
  <c r="G8" i="3" s="1"/>
  <c r="I8" i="3" s="1"/>
  <c r="D10" i="3"/>
  <c r="E18" i="3"/>
  <c r="J9" i="3"/>
  <c r="I14" i="3"/>
  <c r="D15" i="3"/>
  <c r="J17" i="3"/>
  <c r="I8" i="9"/>
  <c r="J9" i="9"/>
  <c r="L9" i="9" s="1"/>
  <c r="B16" i="9"/>
  <c r="C18" i="6"/>
  <c r="C19" i="6" s="1"/>
  <c r="F12" i="3"/>
  <c r="G12" i="3" s="1"/>
  <c r="H12" i="3" s="1"/>
  <c r="D6" i="3"/>
  <c r="B13" i="9"/>
  <c r="J7" i="3"/>
  <c r="H26" i="8" l="1"/>
  <c r="G26" i="8" s="1"/>
  <c r="F26" i="8" s="1"/>
  <c r="I27" i="8"/>
  <c r="G10" i="9"/>
  <c r="I10" i="9" s="1"/>
  <c r="E18" i="9"/>
  <c r="F24" i="3"/>
  <c r="C23" i="6" s="1"/>
  <c r="L13" i="3"/>
  <c r="H14" i="3"/>
  <c r="H13" i="3"/>
  <c r="I6" i="3"/>
  <c r="F32" i="3"/>
  <c r="H10" i="3"/>
  <c r="H7" i="3"/>
  <c r="C5" i="5" s="1"/>
  <c r="D5" i="5" s="1"/>
  <c r="K13" i="3"/>
  <c r="H9" i="3"/>
  <c r="M10" i="3" s="1"/>
  <c r="H15" i="3"/>
  <c r="C7" i="5" s="1"/>
  <c r="D7" i="5" s="1"/>
  <c r="P10" i="9"/>
  <c r="M10" i="9"/>
  <c r="N10" i="9"/>
  <c r="M11" i="3"/>
  <c r="L11" i="3"/>
  <c r="K11" i="3"/>
  <c r="F27" i="8"/>
  <c r="G13" i="9"/>
  <c r="I13" i="9" s="1"/>
  <c r="K10" i="3"/>
  <c r="L10" i="3"/>
  <c r="L12" i="3"/>
  <c r="M12" i="3"/>
  <c r="K12" i="3"/>
  <c r="D18" i="3"/>
  <c r="H6" i="3"/>
  <c r="I12" i="3"/>
  <c r="G12" i="9"/>
  <c r="I12" i="9" s="1"/>
  <c r="G27" i="8"/>
  <c r="H8" i="3"/>
  <c r="I11" i="3"/>
  <c r="K15" i="3"/>
  <c r="H27" i="8"/>
  <c r="G11" i="9"/>
  <c r="I11" i="9" s="1"/>
  <c r="M13" i="3"/>
  <c r="B10" i="9"/>
  <c r="E26" i="8"/>
  <c r="H48" i="8"/>
  <c r="H11" i="9"/>
  <c r="J11" i="9" s="1"/>
  <c r="L11" i="9" s="1"/>
  <c r="F18" i="3"/>
  <c r="F31" i="3"/>
  <c r="M14" i="3"/>
  <c r="L14" i="3"/>
  <c r="K14" i="3"/>
  <c r="P9" i="9"/>
  <c r="N9" i="9"/>
  <c r="M9" i="9"/>
  <c r="O9" i="9"/>
  <c r="L8" i="9"/>
  <c r="G18" i="3"/>
  <c r="I18" i="3" s="1"/>
  <c r="L17" i="3"/>
  <c r="M17" i="3"/>
  <c r="K17" i="3"/>
  <c r="L16" i="3"/>
  <c r="K16" i="3"/>
  <c r="C8" i="5"/>
  <c r="D8" i="5" s="1"/>
  <c r="F23" i="3"/>
  <c r="G47" i="8"/>
  <c r="K9" i="3" l="1"/>
  <c r="H18" i="3"/>
  <c r="F21" i="3" s="1"/>
  <c r="L15" i="3"/>
  <c r="L9" i="3"/>
  <c r="L7" i="3"/>
  <c r="M9" i="3"/>
  <c r="K7" i="3"/>
  <c r="M15" i="3"/>
  <c r="M16" i="3"/>
  <c r="O10" i="9"/>
  <c r="K10" i="9"/>
  <c r="B18" i="9"/>
  <c r="G48" i="8"/>
  <c r="H12" i="9"/>
  <c r="F47" i="8"/>
  <c r="N8" i="9"/>
  <c r="M8" i="9"/>
  <c r="P8" i="9"/>
  <c r="O8" i="9"/>
  <c r="K11" i="9"/>
  <c r="F22" i="3"/>
  <c r="F29" i="3"/>
  <c r="L6" i="3"/>
  <c r="F30" i="3" s="1"/>
  <c r="F28" i="3"/>
  <c r="K6" i="3"/>
  <c r="F27" i="3"/>
  <c r="F26" i="3"/>
  <c r="F25" i="3"/>
  <c r="M7" i="3"/>
  <c r="P11" i="9"/>
  <c r="N11" i="9"/>
  <c r="M11" i="9"/>
  <c r="M8" i="3"/>
  <c r="L8" i="3"/>
  <c r="K8" i="3"/>
  <c r="C6" i="5"/>
  <c r="D6" i="5" s="1"/>
  <c r="D10" i="5" s="1"/>
  <c r="E27" i="8"/>
  <c r="G14" i="9"/>
  <c r="I14" i="9" s="1"/>
  <c r="D26" i="8"/>
  <c r="O11" i="9"/>
  <c r="H13" i="9" l="1"/>
  <c r="F48" i="8"/>
  <c r="E47" i="8"/>
  <c r="J12" i="9"/>
  <c r="K12" i="9"/>
  <c r="F25" i="9"/>
  <c r="D27" i="8"/>
  <c r="G15" i="9"/>
  <c r="I15" i="9" s="1"/>
  <c r="C26" i="8"/>
  <c r="G16" i="9" l="1"/>
  <c r="I16" i="9" s="1"/>
  <c r="C27" i="8"/>
  <c r="B26" i="8"/>
  <c r="E48" i="8"/>
  <c r="H14" i="9"/>
  <c r="D47" i="8"/>
  <c r="J13" i="9"/>
  <c r="L13" i="9" s="1"/>
  <c r="K13" i="9"/>
  <c r="L12" i="9"/>
  <c r="D48" i="8" l="1"/>
  <c r="H15" i="9"/>
  <c r="C47" i="8"/>
  <c r="P13" i="9"/>
  <c r="N13" i="9"/>
  <c r="M13" i="9"/>
  <c r="O13" i="9"/>
  <c r="J14" i="9"/>
  <c r="L14" i="9" s="1"/>
  <c r="K14" i="9"/>
  <c r="P12" i="9"/>
  <c r="N12" i="9"/>
  <c r="M12" i="9"/>
  <c r="O12" i="9"/>
  <c r="B27" i="8"/>
  <c r="G17" i="9"/>
  <c r="I17" i="9" s="1"/>
  <c r="I18" i="9" s="1"/>
  <c r="D22" i="9" s="1"/>
  <c r="B47" i="8" l="1"/>
  <c r="C48" i="8"/>
  <c r="H16" i="9"/>
  <c r="J15" i="9"/>
  <c r="K15" i="9"/>
  <c r="E22" i="9"/>
  <c r="F22" i="9"/>
  <c r="M14" i="9"/>
  <c r="P14" i="9"/>
  <c r="N14" i="9"/>
  <c r="O14" i="9"/>
  <c r="L15" i="9" l="1"/>
  <c r="J16" i="9"/>
  <c r="L16" i="9" s="1"/>
  <c r="K16" i="9"/>
  <c r="H17" i="9"/>
  <c r="B48" i="8"/>
  <c r="K17" i="9" l="1"/>
  <c r="K18" i="9" s="1"/>
  <c r="D24" i="9" s="1"/>
  <c r="J17" i="9"/>
  <c r="N16" i="9"/>
  <c r="M16" i="9"/>
  <c r="P16" i="9"/>
  <c r="O16" i="9"/>
  <c r="N15" i="9"/>
  <c r="M15" i="9"/>
  <c r="P15" i="9"/>
  <c r="O15" i="9"/>
  <c r="L17" i="9" l="1"/>
  <c r="J18" i="9"/>
  <c r="D23" i="9" s="1"/>
  <c r="E24" i="9"/>
  <c r="F24" i="9"/>
  <c r="E23" i="9" l="1"/>
  <c r="F23" i="9"/>
  <c r="P17" i="9"/>
  <c r="P18" i="9" s="1"/>
  <c r="N17" i="9"/>
  <c r="N18" i="9" s="1"/>
  <c r="M17" i="9"/>
  <c r="M18" i="9" s="1"/>
  <c r="O17" i="9"/>
  <c r="L18" i="9"/>
  <c r="O1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C11" authorId="0" shapeId="0" xr:uid="{00000000-0006-0000-0100-000001000000}">
      <text>
        <r>
          <rPr>
            <sz val="11"/>
            <color theme="1"/>
            <rFont val="Calibri"/>
            <family val="2"/>
            <scheme val="minor"/>
          </rPr>
          <t>Source: Insurance Bureau of Canada (IBC), Facts of the Property and Casualty Insurance Industry in Canada 2023, Section 1, pp. 9 &amp; 11 (data: IBC, MSA Research, SCOR, AMF). https://ibc.ca/industry-resources/resources-data/facts-book</t>
        </r>
      </text>
    </comment>
    <comment ref="D11" authorId="0" shapeId="0" xr:uid="{00000000-0006-0000-0100-000002000000}">
      <text>
        <r>
          <rPr>
            <sz val="11"/>
            <color theme="1"/>
            <rFont val="Calibri"/>
            <family val="2"/>
            <scheme val="minor"/>
          </rPr>
          <t>Source: Insurance Bureau of Canada (IBC), Facts of the Property and Casualty Insurance Industry in Canada 2023, Section 1, pp. 9 &amp; 11 (data: IBC, MSA Research, SCOR, AMF). https://ibc.ca/industry-resources/resources-data/facts-book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A12" authorId="0" shapeId="0" xr:uid="{00000000-0006-0000-0300-000001000000}">
      <text>
        <r>
          <rPr>
            <sz val="11"/>
            <color theme="1"/>
            <rFont val="Calibri"/>
            <family val="2"/>
            <scheme val="minor"/>
          </rPr>
          <t>IBC does not publish commercial auto separately. Total auto less private passenger auto is a proxy for commercial vehicle (and other non-private-passenger) auto.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L6" authorId="0" shapeId="0" xr:uid="{00000000-0006-0000-0600-000001000000}">
      <text>
        <r>
          <rPr>
            <sz val="11"/>
            <color theme="1"/>
            <rFont val="Calibri"/>
            <family val="2"/>
            <scheme val="minor"/>
          </rPr>
          <t>The ultimate each simulated AY was built from (earned premium x calendar-year LR). Used only to show how close each reserving method gets.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A26" authorId="0" shapeId="0" xr:uid="{00000000-0006-0000-0700-000001000000}">
      <text>
        <r>
          <rPr>
            <sz val="11"/>
            <color theme="1"/>
            <rFont val="Calibri"/>
            <family val="2"/>
            <scheme val="minor"/>
          </rPr>
          <t>CDF at age k = product of selected LDFs from age k to ultimate, including the tail.</t>
        </r>
      </text>
    </comment>
    <comment ref="A47" authorId="0" shapeId="0" xr:uid="{00000000-0006-0000-0700-000002000000}">
      <text>
        <r>
          <rPr>
            <sz val="11"/>
            <color theme="1"/>
            <rFont val="Calibri"/>
            <family val="2"/>
            <scheme val="minor"/>
          </rPr>
          <t>CDF at age k = product of selected LDFs from age k to ultimate, including the tail.</t>
        </r>
      </text>
    </comment>
  </commentList>
</comments>
</file>

<file path=xl/sharedStrings.xml><?xml version="1.0" encoding="utf-8"?>
<sst xmlns="http://schemas.openxmlformats.org/spreadsheetml/2006/main" count="407" uniqueCount="282">
  <si>
    <t>Loss Ratio Model - Canadian Commercial Property</t>
  </si>
  <si>
    <t>Calendar-year, net of reinsurance, $ millions CAD. Loss Ratio = (NCI + ULAE) / Net Earned Premium.</t>
  </si>
  <si>
    <t>Earning fraction f:</t>
  </si>
  <si>
    <t>ULAE load:</t>
  </si>
  <si>
    <t>Target LR:</t>
  </si>
  <si>
    <t>Year</t>
  </si>
  <si>
    <t>NWP current yr ($mm)</t>
  </si>
  <si>
    <t>NWP prior yr ($mm)</t>
  </si>
  <si>
    <t>Net Earned Premium ($mm)</t>
  </si>
  <si>
    <t>Net Claims Incurred ($mm)</t>
  </si>
  <si>
    <t>ULAE ($mm)</t>
  </si>
  <si>
    <t>Total Incurred ($mm)</t>
  </si>
  <si>
    <t>Loss Ratio (earned)</t>
  </si>
  <si>
    <t>Loss Ratio (written basis)</t>
  </si>
  <si>
    <t>Target LR</t>
  </si>
  <si>
    <t>Variance vs Target</t>
  </si>
  <si>
    <t>Status</t>
  </si>
  <si>
    <t>YoY change in LR</t>
  </si>
  <si>
    <t>Total</t>
  </si>
  <si>
    <t>Summary statistics</t>
  </si>
  <si>
    <t>All-year weighted LR (sum incurred / sum earned)</t>
  </si>
  <si>
    <t>Simple average LR</t>
  </si>
  <si>
    <t>Latest 3-year weighted LR</t>
  </si>
  <si>
    <t>Latest 5-year weighted LR</t>
  </si>
  <si>
    <t>Standard deviation of LR</t>
  </si>
  <si>
    <t>Highest LR</t>
  </si>
  <si>
    <t xml:space="preserve">   Year of highest LR</t>
  </si>
  <si>
    <t>Lowest LR</t>
  </si>
  <si>
    <t xml:space="preserve">   Year of lowest LR</t>
  </si>
  <si>
    <t>Years above target</t>
  </si>
  <si>
    <t>Earned premium CAGR (first to last year)</t>
  </si>
  <si>
    <t>Incurred losses CAGR (first to last year)</t>
  </si>
  <si>
    <t>Industry-level, net of reinsurance, $ millions CAD, calendar years 2010-2022</t>
  </si>
  <si>
    <t>Purpose</t>
  </si>
  <si>
    <t>Calculate and track the calendar-year loss ratio for the Canadian commercial property line, and provide a single-book calculator for your own portfolio.</t>
  </si>
  <si>
    <t>Line of business</t>
  </si>
  <si>
    <t>Commercial property (private P&amp;C insurers; excludes government-run insurers).</t>
  </si>
  <si>
    <t>Data source</t>
  </si>
  <si>
    <t>Source: Insurance Bureau of Canada (IBC), Facts of the Property and Casualty Insurance Industry in Canada 2023, Section 1, pp. 9 &amp; 11 (data: IBC, MSA Research, SCOR, AMF). https://ibc.ca/industry-resources/resources-data/facts-book</t>
  </si>
  <si>
    <t>Core formula</t>
  </si>
  <si>
    <t>Loss Ratio = Incurred Losses (incl. LAE load) / Earned Premium</t>
  </si>
  <si>
    <t>Earned premium</t>
  </si>
  <si>
    <t>IBC publishes written premium, not earned. Earned premium is estimated with the annual-policy, uniform-writing assumption: NEP(t) = f x NWP(t) + (1 - f) x NWP(t-1), with f = 50% by default (editable on Inputs).</t>
  </si>
  <si>
    <t>Incurred losses</t>
  </si>
  <si>
    <t>Net claims incurred as published by IBC (paid + change in case reserves + change in IBNR, net of reinsurance). An optional ULAE load can be added on Inputs.</t>
  </si>
  <si>
    <t>Sheets</t>
  </si>
  <si>
    <t>Inputs - data and assumptions | LR_Model - loss ratio by year, summary stats, charts | Line_Comparison_2022 - loss ratios across all lines | Benchmarks - check vs published ratios | Calculator - loss / LAE / combined ratio for your own book. | Triangle_Data - paid / reported / case triangles (illustrative) | Chain_Ladder - age-to-age factors, LDF selection, CDFs | Reserve_Summary - ultimates, IBNR, chain-ladder vs Bornhuetter-Ferguson.</t>
  </si>
  <si>
    <t>Colour legend</t>
  </si>
  <si>
    <t>Blue text = hardcoded input  |  Black = formula  |  Green = link from another sheet  |  Yellow fill = key assumption you can change.</t>
  </si>
  <si>
    <t>How to use</t>
  </si>
  <si>
    <t>1) Change yellow assumptions on Inputs (earning fraction, ULAE load, target LR).  2) Add a new year: extend the Inputs table and copy the last LR_Model row down.  3) Use Calculator for your own premium and claims figures.</t>
  </si>
  <si>
    <t>Caveats</t>
  </si>
  <si>
    <t>IBC figures are IFRS 4 based; 2023+ data under IFRS 17 is not directly comparable. Calendar-year ratios mix current accident year and prior-year reserve development. 2010 has no prior-year NWP in the source, so its earned premium is not estimated. Loss triangles are SIMULATED for illustration; replace with company data.</t>
  </si>
  <si>
    <t>Legend examples:</t>
  </si>
  <si>
    <t>Hardcoded input</t>
  </si>
  <si>
    <t>Formula</t>
  </si>
  <si>
    <t>Link from another sheet</t>
  </si>
  <si>
    <t>Key assumption (editable)</t>
  </si>
  <si>
    <t>Inputs &amp; Assumptions - Commercial Property (Canada)</t>
  </si>
  <si>
    <t>Edit yellow cells. Blue = hardcoded data. All $ in millions CAD.</t>
  </si>
  <si>
    <t>Assumptions</t>
  </si>
  <si>
    <t>Earning fraction of current-year NWP (f)</t>
  </si>
  <si>
    <t>Annual policies written evenly through the year earn ~50% in the year written and 50% the next year.</t>
  </si>
  <si>
    <t>ULAE load (% of net claims incurred)</t>
  </si>
  <si>
    <t>Optional unallocated loss adjustment expense load. 0% = use IBC net claims incurred as published.</t>
  </si>
  <si>
    <t>Target (permissible) loss ratio</t>
  </si>
  <si>
    <t>Illustrative target. Set to your own pricing permissible loss ratio (1 - expense ratio - profit margin).</t>
  </si>
  <si>
    <t>Historical data - Commercial property, Canada (net of reinsurance)</t>
  </si>
  <si>
    <t>Notes</t>
  </si>
  <si>
    <t>Net Written Premium ($mm)</t>
  </si>
  <si>
    <t>Source</t>
  </si>
  <si>
    <t>2010</t>
  </si>
  <si>
    <t>No 2009 NWP in source - NEP not estimated</t>
  </si>
  <si>
    <t>IBC Facts Book 2023, p.9 (NWP) &amp; p.11 (NCI)</t>
  </si>
  <si>
    <t>2011</t>
  </si>
  <si>
    <t>2012</t>
  </si>
  <si>
    <t>2013</t>
  </si>
  <si>
    <t>2014</t>
  </si>
  <si>
    <t>Cross-check: IBC cites LR 62% (2012) -&gt; 77% (2013)</t>
  </si>
  <si>
    <t>2015</t>
  </si>
  <si>
    <t>2016</t>
  </si>
  <si>
    <t>2017</t>
  </si>
  <si>
    <t>2018</t>
  </si>
  <si>
    <t>2019</t>
  </si>
  <si>
    <t>2020</t>
  </si>
  <si>
    <t>COVID-era hard market; strong premium growth</t>
  </si>
  <si>
    <t>2021</t>
  </si>
  <si>
    <t>2022</t>
  </si>
  <si>
    <t>Loss Ratio by Line of Business - Canada, 2022</t>
  </si>
  <si>
    <t>Written-basis loss ratios (claims incurred / written premium); earned premium by line not published. $ millions.</t>
  </si>
  <si>
    <t>Direct Written Premium</t>
  </si>
  <si>
    <t>Direct Claims Incurred</t>
  </si>
  <si>
    <t>Direct LR</t>
  </si>
  <si>
    <t>Net Written Premium</t>
  </si>
  <si>
    <t>Net Claims Incurred</t>
  </si>
  <si>
    <t>Net LR</t>
  </si>
  <si>
    <t>Reinsurance effect (Net - Direct LR)</t>
  </si>
  <si>
    <t>Total auto</t>
  </si>
  <si>
    <t xml:space="preserve">   Auto - private passenger</t>
  </si>
  <si>
    <t>Personal property</t>
  </si>
  <si>
    <t>Commercial property</t>
  </si>
  <si>
    <t>Liability</t>
  </si>
  <si>
    <t>Specialized</t>
  </si>
  <si>
    <t>Accident and sickness</t>
  </si>
  <si>
    <t>Implied commercial &amp; other auto (Total auto - private passenger)</t>
  </si>
  <si>
    <t>Total business (as published)</t>
  </si>
  <si>
    <t>Check: sum of lines (excl. sub-line) - published total</t>
  </si>
  <si>
    <t>Small differences are due to rounding in the published tables.</t>
  </si>
  <si>
    <t>Model Validation - Published Commercial Property Loss Ratios</t>
  </si>
  <si>
    <t>Compares the model's earned-basis loss ratio with ratios quoted by industry bodies. Bases differ slightly.</t>
  </si>
  <si>
    <t>Published LR</t>
  </si>
  <si>
    <t>Model LR</t>
  </si>
  <si>
    <t>Difference</t>
  </si>
  <si>
    <t>Published by</t>
  </si>
  <si>
    <t>URL</t>
  </si>
  <si>
    <t>IBC (Swiss Re Canada Outlook, 2014) via Canadian Underwriter</t>
  </si>
  <si>
    <t>https://canadianunderwriter.ca/2014/03/31/ibc-says-weather-hit-pc-insurers-results-hard-in-2013/</t>
  </si>
  <si>
    <t>PACICC Solvency Matters via Canadian Underwriter</t>
  </si>
  <si>
    <t>https://canadianunderwriter.ca/2022/04/07/how-profitable-was-canadas-pc-industry-last-year/</t>
  </si>
  <si>
    <t>Mean absolute difference:</t>
  </si>
  <si>
    <t>Interpretation: the model reproduces published ratios within a few points, which supports the 50% earning assumption. Remaining gaps reflect rounding and differences in premium basis.</t>
  </si>
  <si>
    <t>Loss Ratio Calculator - Your Own Book</t>
  </si>
  <si>
    <t>Replace the yellow example values with your portfolio's figures (any currency unit, e.g. $).</t>
  </si>
  <si>
    <t>Item</t>
  </si>
  <si>
    <t>Amount</t>
  </si>
  <si>
    <t>Explanation</t>
  </si>
  <si>
    <t>Premium earned in the period (written premium adjusted for UPR change).</t>
  </si>
  <si>
    <t>Paid losses (indemnity)</t>
  </si>
  <si>
    <t>Claims paid in the period.</t>
  </si>
  <si>
    <t>Change in case reserves</t>
  </si>
  <si>
    <t>Closing case reserves less opening case reserves.</t>
  </si>
  <si>
    <t>Change in IBNR</t>
  </si>
  <si>
    <t>Closing IBNR less opening IBNR.</t>
  </si>
  <si>
    <t>Paid + change in case + change in IBNR.</t>
  </si>
  <si>
    <t>Allocated LAE (ALAE)</t>
  </si>
  <si>
    <t>Claim-specific expenses: legal, adjusters, experts.</t>
  </si>
  <si>
    <t>Unallocated LAE (ULAE)</t>
  </si>
  <si>
    <t>Claims department overhead.</t>
  </si>
  <si>
    <t>Incurred losses + LAE</t>
  </si>
  <si>
    <t>Pure loss ratio</t>
  </si>
  <si>
    <t>Incurred losses / earned premium.</t>
  </si>
  <si>
    <t>LAE ratio</t>
  </si>
  <si>
    <t>(ALAE + ULAE) / earned premium.</t>
  </si>
  <si>
    <t>Loss ratio incl. LAE</t>
  </si>
  <si>
    <t>The headline loss ratio most actuaries report.</t>
  </si>
  <si>
    <t>Underwriting expense ratio</t>
  </si>
  <si>
    <t>Commissions, premium tax, general expenses / premium.</t>
  </si>
  <si>
    <t>Combined ratio</t>
  </si>
  <si>
    <t>Below 100% = underwriting profit.</t>
  </si>
  <si>
    <t>Underwriting profit / (loss)</t>
  </si>
  <si>
    <t>Earned premium x (1 - combined ratio).</t>
  </si>
  <si>
    <t>Target loss ratio (from Inputs)</t>
  </si>
  <si>
    <t>Linked from the Inputs sheet.</t>
  </si>
  <si>
    <t>Result vs target</t>
  </si>
  <si>
    <t>Industry benchmark: latest 5-yr weighted LR</t>
  </si>
  <si>
    <t>Canadian commercial property, 2018-2022.</t>
  </si>
  <si>
    <t>Example values are illustrative, not from any real insurer.</t>
  </si>
  <si>
    <t>Loss Development Triangles - Commercial Property ($mm, cumulative)</t>
  </si>
  <si>
    <t>ILLUSTRATIVE / SIMULATED: industry accident-year triangles are not published for Canada. Values are simulated from the model's earned premium and calendar-year loss ratios with an assumed commercial property development pattern. Replace the blue cells with your own company data.</t>
  </si>
  <si>
    <t>Cumulative paid losses</t>
  </si>
  <si>
    <t>Accident Year</t>
  </si>
  <si>
    <t>12 mo</t>
  </si>
  <si>
    <t>24 mo</t>
  </si>
  <si>
    <t>36 mo</t>
  </si>
  <si>
    <t>48 mo</t>
  </si>
  <si>
    <t>60 mo</t>
  </si>
  <si>
    <t>72 mo</t>
  </si>
  <si>
    <t>84 mo</t>
  </si>
  <si>
    <t>96 mo</t>
  </si>
  <si>
    <t>108 mo</t>
  </si>
  <si>
    <t>120 mo</t>
  </si>
  <si>
    <t>Simulated true ultimate</t>
  </si>
  <si>
    <t>Cumulative reported (case-incurred) losses</t>
  </si>
  <si>
    <t>Case reserves (reported - paid)</t>
  </si>
  <si>
    <t>Shaded cells = latest diagonal (valuation 31-Dec-2022).</t>
  </si>
  <si>
    <t>Chain-Ladder Development - Paid and Reported</t>
  </si>
  <si>
    <t>Age-to-age factors, averages, selected LDFs and cumulative development factors (CDFs).</t>
  </si>
  <si>
    <t>LDF averaging method (1-4)</t>
  </si>
  <si>
    <t>1 = simple average, 2 = volume-weighted all years, 3 = volume-weighted latest 5, 4 = volume-weighted latest 3</t>
  </si>
  <si>
    <t>Paid tail factor (120 mo - ult)</t>
  </si>
  <si>
    <t>Commercial property is short-tailed; 1.000 assumes no development after 10 years.</t>
  </si>
  <si>
    <t>Reported tail factor (120 mo - ult)</t>
  </si>
  <si>
    <t>Paid - age-to-age factors</t>
  </si>
  <si>
    <t>12-24</t>
  </si>
  <si>
    <t>24-36</t>
  </si>
  <si>
    <t>36-48</t>
  </si>
  <si>
    <t>48-60</t>
  </si>
  <si>
    <t>60-72</t>
  </si>
  <si>
    <t>72-84</t>
  </si>
  <si>
    <t>84-96</t>
  </si>
  <si>
    <t>96-108</t>
  </si>
  <si>
    <t>108-120</t>
  </si>
  <si>
    <t>120-Ult</t>
  </si>
  <si>
    <t>Simple average</t>
  </si>
  <si>
    <t>Vol-weighted all years</t>
  </si>
  <si>
    <t>Vol-weighted latest 5</t>
  </si>
  <si>
    <t>Vol-weighted latest 3</t>
  </si>
  <si>
    <t>Selected LDF</t>
  </si>
  <si>
    <t>CDF to ultimate</t>
  </si>
  <si>
    <t>% of ultimate</t>
  </si>
  <si>
    <t>Reported - age-to-age factors</t>
  </si>
  <si>
    <t>Ultimate Losses &amp; Reserves - Chain-Ladder and Bornhuetter-Ferguson</t>
  </si>
  <si>
    <t>Valuation date 31-Dec-2022, $ millions. Triangles are illustrative (see Triangle_Data).</t>
  </si>
  <si>
    <t>BF a priori expected LR</t>
  </si>
  <si>
    <t>Initial loss ratio expectation, e.g. the long-run industry LR (LR_Model all-year weighted is 62.6%).</t>
  </si>
  <si>
    <t>Selected method (1-3)</t>
  </si>
  <si>
    <t>1 = paid chain-ladder, 2 = reported chain-ladder, 3 = Bornhuetter-Ferguson (reported)</t>
  </si>
  <si>
    <t>Earned Premium</t>
  </si>
  <si>
    <t>Paid to Date</t>
  </si>
  <si>
    <t>Reported to Date</t>
  </si>
  <si>
    <t>Case Reserves</t>
  </si>
  <si>
    <t>Age (mo)</t>
  </si>
  <si>
    <t>Paid CDF</t>
  </si>
  <si>
    <t>Reported CDF</t>
  </si>
  <si>
    <t>Ult - Paid CL</t>
  </si>
  <si>
    <t>Ult - Reported CL</t>
  </si>
  <si>
    <t>Ult - BF</t>
  </si>
  <si>
    <t>Selected Ultimate</t>
  </si>
  <si>
    <t>IBNR</t>
  </si>
  <si>
    <t>Total Unpaid</t>
  </si>
  <si>
    <t>Ultimate LR</t>
  </si>
  <si>
    <t>vs Simulated True</t>
  </si>
  <si>
    <t>Method comparison (all accident years)</t>
  </si>
  <si>
    <t>Method</t>
  </si>
  <si>
    <t>Ultimate</t>
  </si>
  <si>
    <t>Paid chain-ladder</t>
  </si>
  <si>
    <t>Reported chain-ladder</t>
  </si>
  <si>
    <t>Bornhuetter-Ferguson</t>
  </si>
  <si>
    <t>IBNR = selected ultimate - reported to date. Total unpaid = selected ultimate - paid to date (case reserves + IBNR). BF ultimate = reported + EP x ELR x (1 - 1/CDF).</t>
  </si>
  <si>
    <t>1) What is the earning fraction, and why does it matter?</t>
  </si>
  <si>
    <r>
      <t xml:space="preserve">An annual policy's premium is </t>
    </r>
    <r>
      <rPr>
        <b/>
        <sz val="11"/>
        <color theme="1"/>
        <rFont val="Calibri"/>
        <family val="2"/>
        <scheme val="minor"/>
      </rPr>
      <t>written</t>
    </r>
    <r>
      <rPr>
        <sz val="11"/>
        <color theme="1"/>
        <rFont val="Calibri"/>
        <family val="2"/>
        <scheme val="minor"/>
      </rPr>
      <t xml:space="preserve"> on the day the policy is sold. It is </t>
    </r>
    <r>
      <rPr>
        <b/>
        <sz val="11"/>
        <color theme="1"/>
        <rFont val="Calibri"/>
        <family val="2"/>
        <scheme val="minor"/>
      </rPr>
      <t>earned</t>
    </r>
    <r>
      <rPr>
        <sz val="11"/>
        <color theme="1"/>
        <rFont val="Calibri"/>
        <family val="2"/>
        <scheme val="minor"/>
      </rPr>
      <t xml:space="preserve"> gradually, as each day of coverage passes. On any reporting date, the part not yet earned sits on the balance sheet as the </t>
    </r>
    <r>
      <rPr>
        <b/>
        <sz val="11"/>
        <color theme="1"/>
        <rFont val="Calibri"/>
        <family val="2"/>
        <scheme val="minor"/>
      </rPr>
      <t>unearned premium reserve</t>
    </r>
    <r>
      <rPr>
        <sz val="11"/>
        <color theme="1"/>
        <rFont val="Calibri"/>
        <family val="2"/>
        <scheme val="minor"/>
      </rPr>
      <t>.</t>
    </r>
  </si>
  <si>
    <t>The earning fraction is the share of a year's written premium that gets earned in that same year. The model uses it to estimate earned premium:</t>
  </si>
  <si>
    <t>Earned(t) = f × Written(t) + (1 − f) × Written(t−1)</t>
  </si>
  <si>
    <t>It matters because a loss ratio should compare claims from a period with the premium for the coverage given in that same period. Earned premium is that premium; written premium isn't. IBC publishes only written premium, so the model has to estimate earned.</t>
  </si>
  <si>
    <t>2) Why 50%? Is it set by a regulator?</t>
  </si>
  <si>
    <t>No, it's an actuarial approximation, not a rule. The logic: if annual policies are sold evenly through the year, the average policy starts mid-year. By 31 December it has used 6 of its 12 months, so about 50% of the year's sales are earned that year and the other 50% the next year.</t>
  </si>
  <si>
    <t>What regulators and accounting standards do require (OSFI, IFRS 17) is that premium be recognized over the coverage period. Insurers calculate that exactly, policy by policy, usually day by day. We use 50% only because we don't have policy-level data.</t>
  </si>
  <si>
    <t>You'd change the fraction when the assumption doesn't hold:</t>
  </si>
  <si>
    <r>
      <t>Lots of 1 January renewals:</t>
    </r>
    <r>
      <rPr>
        <sz val="11"/>
        <color theme="1"/>
        <rFont val="Calibri"/>
        <family val="2"/>
        <scheme val="minor"/>
      </rPr>
      <t xml:space="preserve"> more premium is earned in the year it's written, so the fraction goes up.</t>
    </r>
  </si>
  <si>
    <r>
      <t>Sales concentrated late in the year:</t>
    </r>
    <r>
      <rPr>
        <sz val="11"/>
        <color theme="1"/>
        <rFont val="Calibri"/>
        <family val="2"/>
        <scheme val="minor"/>
      </rPr>
      <t xml:space="preserve"> the fraction goes down.</t>
    </r>
  </si>
  <si>
    <r>
      <t>Policies longer or shorter than 12 months:</t>
    </r>
    <r>
      <rPr>
        <sz val="11"/>
        <color theme="1"/>
        <rFont val="Calibri"/>
        <family val="2"/>
        <scheme val="minor"/>
      </rPr>
      <t xml:space="preserve"> a different pattern altogether.</t>
    </r>
  </si>
  <si>
    <t>The Benchmarks sheet backs up 50% here. With it, the model matches the published 2020 and 2021 ratios within 0.6 and 0.1 points.</t>
  </si>
  <si>
    <t>3) What are ULAE and the ULAE load, and why 0%?</t>
  </si>
  <si>
    <r>
      <t>LAE (loss adjustment expense)</t>
    </r>
    <r>
      <rPr>
        <sz val="11"/>
        <color theme="1"/>
        <rFont val="Calibri"/>
        <family val="2"/>
        <scheme val="minor"/>
      </rPr>
      <t xml:space="preserve"> is the cost of settling claims. It comes in two kinds:</t>
    </r>
  </si>
  <si>
    <r>
      <t>ALAE (allocated):</t>
    </r>
    <r>
      <rPr>
        <sz val="11"/>
        <color theme="1"/>
        <rFont val="Calibri"/>
        <family val="2"/>
        <scheme val="minor"/>
      </rPr>
      <t xml:space="preserve"> costs tied to a specific claim, such as lawyers, independent adjusters and engineers.</t>
    </r>
  </si>
  <si>
    <r>
      <t>ULAE (unallocated):</t>
    </r>
    <r>
      <rPr>
        <sz val="11"/>
        <color theme="1"/>
        <rFont val="Calibri"/>
        <family val="2"/>
        <scheme val="minor"/>
      </rPr>
      <t xml:space="preserve"> general claims overhead, such as claims staff salaries, offices and claims systems.</t>
    </r>
  </si>
  <si>
    <r>
      <t xml:space="preserve">The </t>
    </r>
    <r>
      <rPr>
        <b/>
        <sz val="11"/>
        <color theme="1"/>
        <rFont val="Calibri"/>
        <family val="2"/>
        <scheme val="minor"/>
      </rPr>
      <t>ULAE load</t>
    </r>
    <r>
      <rPr>
        <sz val="11"/>
        <color theme="1"/>
        <rFont val="Calibri"/>
        <family val="2"/>
        <scheme val="minor"/>
      </rPr>
      <t xml:space="preserve"> adds ULAE as a percentage of claims, because ULAE can't be traced to individual claims.</t>
    </r>
  </si>
  <si>
    <t>It's 0% because Canadian statutory "claims incurred" figures generally already include adjustment expenses, so adding a load on top of the IBC numbers would likely count them twice. I haven't confirmed this line by line in the IBC definitions, so 0% is the cautious default.</t>
  </si>
  <si>
    <t>Use the load when your claims data covers indemnity only, which is typical of a company's claims-system extract. For property lines a few percent of losses is a typical range, but get the real figure from your company's expense study.</t>
  </si>
  <si>
    <t>4) Why are there two loss ratios, earned and written? Does it matter?</t>
  </si>
  <si>
    <r>
      <t>Earned basis</t>
    </r>
    <r>
      <rPr>
        <sz val="11"/>
        <color theme="1"/>
        <rFont val="Calibri"/>
        <family val="2"/>
        <scheme val="minor"/>
      </rPr>
      <t xml:space="preserve"> is the correct measure. It matches claims to the coverage actually provided in the period.</t>
    </r>
  </si>
  <si>
    <r>
      <t>Written basis</t>
    </r>
    <r>
      <rPr>
        <sz val="11"/>
        <color theme="1"/>
        <rFont val="Calibri"/>
        <family val="2"/>
        <scheme val="minor"/>
      </rPr>
      <t xml:space="preserve"> compares claims to the period's sales. It's a quick stand-in when earned premium isn't available, which is why Line_Comparison_2022 uses it.</t>
    </r>
  </si>
  <si>
    <t>The difference matters most when the book is growing. Written premium then runs ahead of earned, so the written-basis ratio looks better than reality. For example, in 2018 the earned ratio was 75.1% but the written ratio was 71.6%, about 3.5 points better. Use the earned ratio for decisions.</t>
  </si>
  <si>
    <t>5) What would the ideal loss ratio be?</t>
  </si>
  <si>
    <r>
      <t xml:space="preserve">There's no single right number. The target is the </t>
    </r>
    <r>
      <rPr>
        <b/>
        <sz val="11"/>
        <color theme="1"/>
        <rFont val="Calibri"/>
        <family val="2"/>
        <scheme val="minor"/>
      </rPr>
      <t>permissible loss ratio</t>
    </r>
    <r>
      <rPr>
        <sz val="11"/>
        <color theme="1"/>
        <rFont val="Calibri"/>
        <family val="2"/>
        <scheme val="minor"/>
      </rPr>
      <t>:</t>
    </r>
  </si>
  <si>
    <t>Permissible LR = 1 − expense ratio − profit margin</t>
  </si>
  <si>
    <t>For example, 30% expenses and a 5% profit margin give a 65% target. That's the illustrative target in Inputs.</t>
  </si>
  <si>
    <t>Lower isn't automatically better. A ratio far below target (like 45% in 2021) can mean prices are too high. That invites competitors to undercut you, and it usually doesn't last. Ideally the ratio sits close to target, steady over time, with a combined ratio under 100%.</t>
  </si>
  <si>
    <t>6) What should the loss ratio status show?</t>
  </si>
  <si>
    <t>At the moment the status has two values: "Above target" when the ratio is over 65%, and "Within target" otherwise. You want "Within target" most years, but not far below target.</t>
  </si>
  <si>
    <t>In this data, 5 of 12 years are above target: 2011, 2012, 2013, 2016 and 2018. 2012 only just misses, at 65.5%. The catastrophe-heavy years are 2013 (Alberta and Toronto floods) and 2016 (Fort McMurray wildfire). The 2021–2022 results sit well under target because insurers raised rates sharply then.</t>
  </si>
  <si>
    <t>A better status would have three bands: "Well below", "Within ± tolerance" and "Above". That catches both underpricing and overpricing.</t>
  </si>
  <si>
    <t>7) How do insurers reach the target in practice?</t>
  </si>
  <si>
    <t>The levers, roughly in order of how fast they work:</t>
  </si>
  <si>
    <r>
      <t>Pricing:</t>
    </r>
    <r>
      <rPr>
        <sz val="11"/>
        <color theme="1"/>
        <rFont val="Calibri"/>
        <family val="2"/>
        <scheme val="minor"/>
      </rPr>
      <t xml:space="preserve"> rate increases, and refining rating factors and individual risk rating. Because of the earning fraction, a rate increase takes about two years to fully flow into earned premium.</t>
    </r>
  </si>
  <si>
    <r>
      <t>Underwriting selection:</t>
    </r>
    <r>
      <rPr>
        <sz val="11"/>
        <color theme="1"/>
        <rFont val="Calibri"/>
        <family val="2"/>
        <scheme val="minor"/>
      </rPr>
      <t xml:space="preserve"> judging risks by construction, occupancy, fire protection and exposure, inspecting before binding, and leaving unprofitable segments.</t>
    </r>
  </si>
  <si>
    <r>
      <t>Terms and conditions:</t>
    </r>
    <r>
      <rPr>
        <sz val="11"/>
        <color theme="1"/>
        <rFont val="Calibri"/>
        <family val="2"/>
        <scheme val="minor"/>
      </rPr>
      <t xml:space="preserve"> higher deductibles (especially for catastrophe perils), sublimits, coinsurance clauses and exclusions.</t>
    </r>
  </si>
  <si>
    <r>
      <t>Insurance-to-value:</t>
    </r>
    <r>
      <rPr>
        <sz val="11"/>
        <color theme="1"/>
        <rFont val="Calibri"/>
        <family val="2"/>
        <scheme val="minor"/>
      </rPr>
      <t xml:space="preserve"> making sure buildings are insured for their real replacement cost. Underinsured buildings collect too little premium for the risk.</t>
    </r>
  </si>
  <si>
    <r>
      <t>Risk control:</t>
    </r>
    <r>
      <rPr>
        <sz val="11"/>
        <color theme="1"/>
        <rFont val="Calibri"/>
        <family val="2"/>
        <scheme val="minor"/>
      </rPr>
      <t xml:space="preserve"> sprinklers, maintenance programs and loss-prevention surveys.</t>
    </r>
  </si>
  <si>
    <r>
      <t>Reinsurance:</t>
    </r>
    <r>
      <rPr>
        <sz val="11"/>
        <color theme="1"/>
        <rFont val="Calibri"/>
        <family val="2"/>
        <scheme val="minor"/>
      </rPr>
      <t xml:space="preserve"> catastrophe excess-of-loss cover reduces net losses and volatility, at the cost of reinsurance premium.</t>
    </r>
  </si>
  <si>
    <r>
      <t>Claims management:</t>
    </r>
    <r>
      <rPr>
        <sz val="11"/>
        <color theme="1"/>
        <rFont val="Calibri"/>
        <family val="2"/>
        <scheme val="minor"/>
      </rPr>
      <t xml:space="preserve"> recovering costs from at-fault parties, salvage, fraud detection and managed repair networks.</t>
    </r>
  </si>
  <si>
    <r>
      <t>Portfolio mix:</t>
    </r>
    <r>
      <rPr>
        <sz val="11"/>
        <color theme="1"/>
        <rFont val="Calibri"/>
        <family val="2"/>
        <scheme val="minor"/>
      </rPr>
      <t xml:space="preserve"> spreading geographic concentrations so one flood or wildfire can't wreck the year.</t>
    </r>
  </si>
  <si>
    <t>Even with all of these, catastrophe years will still spike. That's why targets are judged on multi-year averages, like the model's 5-year weighted 57.6%, rather than single years.</t>
  </si>
  <si>
    <t>8) What is the YoY change, and why does it matter?</t>
  </si>
  <si>
    <r>
      <t xml:space="preserve">It's this year's loss ratio minus last year's, in </t>
    </r>
    <r>
      <rPr>
        <b/>
        <sz val="11"/>
        <color theme="1"/>
        <rFont val="Calibri"/>
        <family val="2"/>
        <scheme val="minor"/>
      </rPr>
      <t>percentage points</t>
    </r>
    <r>
      <rPr>
        <sz val="11"/>
        <color theme="1"/>
        <rFont val="Calibri"/>
        <family val="2"/>
        <scheme val="minor"/>
      </rPr>
      <t>, not percent. For example, 2016 is +25.0 points (57.2% to 82.2%) and 2017 is −19.5 points.</t>
    </r>
  </si>
  <si>
    <t>It's useful for:</t>
  </si>
  <si>
    <r>
      <t>Spotting trends:</t>
    </r>
    <r>
      <rPr>
        <sz val="11"/>
        <color theme="1"/>
        <rFont val="Calibri"/>
        <family val="2"/>
        <scheme val="minor"/>
      </rPr>
      <t xml:space="preserve"> steady small increases point to underpricing or rising claim costs, and are more worrying than one-off spikes.</t>
    </r>
  </si>
  <si>
    <r>
      <t>Showing volatility:</t>
    </r>
    <r>
      <rPr>
        <sz val="11"/>
        <color theme="1"/>
        <rFont val="Calibri"/>
        <family val="2"/>
        <scheme val="minor"/>
      </rPr>
      <t xml:space="preserve"> big swings in both directions are typical of catastrophe-exposed property.</t>
    </r>
  </si>
  <si>
    <r>
      <t>Finding causes:</t>
    </r>
    <r>
      <rPr>
        <sz val="11"/>
        <color theme="1"/>
        <rFont val="Calibri"/>
        <family val="2"/>
        <scheme val="minor"/>
      </rPr>
      <t xml:space="preserve"> a large move sends you to check whether premium (rate changes, growth) or claims (frequency, severity, catastrophes) drove it.</t>
    </r>
  </si>
  <si>
    <r>
      <t>Early warning:</t>
    </r>
    <r>
      <rPr>
        <sz val="11"/>
        <color theme="1"/>
        <rFont val="Calibri"/>
        <family val="2"/>
        <scheme val="minor"/>
      </rPr>
      <t xml:space="preserve"> if the ratio rises two years running, it's time to review pricing.</t>
    </r>
  </si>
  <si>
    <t>Read it alongside the multi-year averages so one catastrophe year isn't mistaken for a trend.</t>
  </si>
  <si>
    <t>incurred loss/earned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</si>
</sst>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quot;-&quot;"/>
    <numFmt numFmtId="165" formatCode="\$#,##0;\(\$#,##0\);&quot;-&quot;"/>
    <numFmt numFmtId="166" formatCode="\+0.0%;\-0.0%;&quot;-&quot;"/>
    <numFmt numFmtId="167" formatCode="#,##0;\(#,##0\);&quot;0&quot;"/>
    <numFmt numFmtId="168" formatCode="0.000"/>
  </numFmts>
  <fonts count="14" x14ac:knownFonts="1">
    <font>
      <sz val="11"/>
      <color theme="1"/>
      <name val="Calibri"/>
      <family val="2"/>
      <scheme val="minor"/>
    </font>
    <font>
      <b/>
      <sz val="14"/>
      <color rgb="FF1F3864"/>
      <name val="Arial"/>
    </font>
    <font>
      <i/>
      <sz val="9"/>
      <color rgb="FF595959"/>
      <name val="Arial"/>
    </font>
    <font>
      <b/>
      <sz val="11"/>
      <name val="Arial"/>
    </font>
    <font>
      <sz val="11"/>
      <color rgb="FF000000"/>
      <name val="Arial"/>
    </font>
    <font>
      <sz val="11"/>
      <color rgb="FF0000FF"/>
      <name val="Arial"/>
    </font>
    <font>
      <sz val="11"/>
      <color rgb="FF008000"/>
      <name val="Arial"/>
    </font>
    <font>
      <b/>
      <sz val="11"/>
      <color rgb="FFFFFFFF"/>
      <name val="Arial"/>
    </font>
    <font>
      <b/>
      <sz val="11"/>
      <color rgb="FF0000FF"/>
      <name val="Arial"/>
    </font>
    <font>
      <b/>
      <sz val="9"/>
      <color rgb="FFC00000"/>
      <name val="Arial"/>
    </font>
    <font>
      <b/>
      <sz val="12"/>
      <name val="Arial"/>
    </font>
    <font>
      <sz val="11"/>
      <color theme="1"/>
      <name val="Arial"/>
    </font>
    <font>
      <b/>
      <sz val="11"/>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rgb="FFFFFF00"/>
      </patternFill>
    </fill>
    <fill>
      <patternFill patternType="solid">
        <fgColor rgb="FF1F3864"/>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s>
  <cellStyleXfs count="1">
    <xf numFmtId="0" fontId="0" fillId="0" borderId="0"/>
  </cellStyleXfs>
  <cellXfs count="74">
    <xf numFmtId="0" fontId="0" fillId="0" borderId="0" xfId="0"/>
    <xf numFmtId="0" fontId="11" fillId="0" borderId="0" xfId="0" applyFont="1"/>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3" fillId="0" borderId="0" xfId="0" applyFont="1"/>
    <xf numFmtId="0" fontId="5" fillId="0" borderId="0" xfId="0" applyFont="1"/>
    <xf numFmtId="0" fontId="4" fillId="0" borderId="0" xfId="0" applyFont="1"/>
    <xf numFmtId="164" fontId="6" fillId="0" borderId="0" xfId="0" applyNumberFormat="1" applyFont="1"/>
    <xf numFmtId="164" fontId="5" fillId="2" borderId="0" xfId="0" applyNumberFormat="1" applyFont="1" applyFill="1"/>
    <xf numFmtId="164" fontId="5" fillId="2" borderId="1" xfId="0" applyNumberFormat="1" applyFont="1" applyFill="1" applyBorder="1"/>
    <xf numFmtId="0" fontId="7" fillId="3" borderId="1" xfId="0" applyFont="1" applyFill="1" applyBorder="1" applyAlignment="1">
      <alignment horizontal="center" vertical="center" wrapText="1"/>
    </xf>
    <xf numFmtId="0" fontId="5" fillId="0" borderId="1" xfId="0" applyFont="1" applyBorder="1" applyAlignment="1">
      <alignment horizontal="center"/>
    </xf>
    <xf numFmtId="0" fontId="2" fillId="0" borderId="1" xfId="0" applyFont="1" applyBorder="1"/>
    <xf numFmtId="165" fontId="5" fillId="0" borderId="1" xfId="0" applyNumberFormat="1" applyFont="1" applyBorder="1"/>
    <xf numFmtId="0" fontId="4" fillId="0" borderId="1" xfId="0" applyFont="1" applyBorder="1"/>
    <xf numFmtId="0" fontId="6" fillId="0" borderId="1" xfId="0" applyFont="1" applyBorder="1" applyAlignment="1">
      <alignment horizontal="center"/>
    </xf>
    <xf numFmtId="165" fontId="6" fillId="0" borderId="1" xfId="0" applyNumberFormat="1" applyFont="1" applyBorder="1"/>
    <xf numFmtId="165" fontId="4" fillId="0" borderId="1" xfId="0" applyNumberFormat="1" applyFont="1" applyBorder="1"/>
    <xf numFmtId="164" fontId="3" fillId="0" borderId="1" xfId="0" applyNumberFormat="1" applyFont="1" applyBorder="1"/>
    <xf numFmtId="164" fontId="4" fillId="0" borderId="1" xfId="0" applyNumberFormat="1" applyFont="1" applyBorder="1"/>
    <xf numFmtId="166" fontId="4" fillId="0" borderId="1" xfId="0" applyNumberFormat="1" applyFont="1" applyBorder="1"/>
    <xf numFmtId="0" fontId="4" fillId="0" borderId="1" xfId="0" applyFont="1" applyBorder="1" applyAlignment="1">
      <alignment horizontal="center"/>
    </xf>
    <xf numFmtId="0" fontId="3" fillId="4" borderId="2" xfId="0" applyFont="1" applyFill="1" applyBorder="1"/>
    <xf numFmtId="165" fontId="3" fillId="4" borderId="2" xfId="0" applyNumberFormat="1" applyFont="1" applyFill="1" applyBorder="1"/>
    <xf numFmtId="164" fontId="3" fillId="4" borderId="2" xfId="0" applyNumberFormat="1" applyFont="1" applyFill="1" applyBorder="1"/>
    <xf numFmtId="0" fontId="11" fillId="4" borderId="2" xfId="0" applyFont="1" applyFill="1" applyBorder="1"/>
    <xf numFmtId="164" fontId="3" fillId="0" borderId="1" xfId="0" applyNumberFormat="1" applyFont="1" applyBorder="1" applyAlignment="1">
      <alignment horizontal="right"/>
    </xf>
    <xf numFmtId="49" fontId="3" fillId="0" borderId="1" xfId="0" applyNumberFormat="1" applyFont="1" applyBorder="1" applyAlignment="1">
      <alignment horizontal="right"/>
    </xf>
    <xf numFmtId="1" fontId="3" fillId="0" borderId="1" xfId="0" applyNumberFormat="1" applyFont="1" applyBorder="1" applyAlignment="1">
      <alignment horizontal="right"/>
    </xf>
    <xf numFmtId="164" fontId="11" fillId="0" borderId="1" xfId="0" applyNumberFormat="1" applyFont="1" applyBorder="1"/>
    <xf numFmtId="166" fontId="11" fillId="0" borderId="1" xfId="0" applyNumberFormat="1" applyFont="1" applyBorder="1"/>
    <xf numFmtId="0" fontId="4" fillId="2" borderId="1" xfId="0" applyFont="1" applyFill="1" applyBorder="1"/>
    <xf numFmtId="165" fontId="5" fillId="2" borderId="1" xfId="0" applyNumberFormat="1" applyFont="1" applyFill="1" applyBorder="1"/>
    <xf numFmtId="164" fontId="11" fillId="2" borderId="1" xfId="0" applyNumberFormat="1" applyFont="1" applyFill="1" applyBorder="1"/>
    <xf numFmtId="166" fontId="11" fillId="2" borderId="1" xfId="0" applyNumberFormat="1" applyFont="1" applyFill="1" applyBorder="1"/>
    <xf numFmtId="0" fontId="3" fillId="4" borderId="1" xfId="0" applyFont="1" applyFill="1" applyBorder="1"/>
    <xf numFmtId="165" fontId="11" fillId="4" borderId="1" xfId="0" applyNumberFormat="1" applyFont="1" applyFill="1" applyBorder="1"/>
    <xf numFmtId="164" fontId="11" fillId="4" borderId="1" xfId="0" applyNumberFormat="1" applyFont="1" applyFill="1" applyBorder="1"/>
    <xf numFmtId="166" fontId="11" fillId="4" borderId="1" xfId="0" applyNumberFormat="1" applyFont="1" applyFill="1" applyBorder="1"/>
    <xf numFmtId="0" fontId="3" fillId="0" borderId="2" xfId="0" applyFont="1" applyBorder="1"/>
    <xf numFmtId="165" fontId="8" fillId="0" borderId="2" xfId="0" applyNumberFormat="1" applyFont="1" applyBorder="1"/>
    <xf numFmtId="164" fontId="11" fillId="0" borderId="2" xfId="0" applyNumberFormat="1" applyFont="1" applyBorder="1"/>
    <xf numFmtId="166" fontId="11" fillId="0" borderId="2" xfId="0" applyNumberFormat="1" applyFont="1" applyBorder="1"/>
    <xf numFmtId="167" fontId="2" fillId="0" borderId="0" xfId="0" applyNumberFormat="1" applyFont="1"/>
    <xf numFmtId="164" fontId="5" fillId="0" borderId="1" xfId="0" applyNumberFormat="1" applyFont="1" applyBorder="1"/>
    <xf numFmtId="164" fontId="6" fillId="0" borderId="1" xfId="0" applyNumberFormat="1" applyFont="1" applyBorder="1"/>
    <xf numFmtId="164" fontId="3" fillId="0" borderId="0" xfId="0" applyNumberFormat="1" applyFont="1"/>
    <xf numFmtId="165" fontId="3" fillId="0" borderId="1" xfId="0" applyNumberFormat="1" applyFont="1" applyBorder="1"/>
    <xf numFmtId="49" fontId="4" fillId="0" borderId="1" xfId="0" applyNumberFormat="1" applyFont="1" applyBorder="1" applyAlignment="1">
      <alignment horizontal="right"/>
    </xf>
    <xf numFmtId="165" fontId="5" fillId="4" borderId="1" xfId="0" applyNumberFormat="1" applyFont="1" applyFill="1" applyBorder="1"/>
    <xf numFmtId="165" fontId="11" fillId="0" borderId="1" xfId="0" applyNumberFormat="1" applyFont="1" applyBorder="1"/>
    <xf numFmtId="165" fontId="4" fillId="4" borderId="1" xfId="0" applyNumberFormat="1" applyFont="1" applyFill="1" applyBorder="1"/>
    <xf numFmtId="0" fontId="5" fillId="2" borderId="1" xfId="0" applyFont="1" applyFill="1" applyBorder="1"/>
    <xf numFmtId="168" fontId="5" fillId="2" borderId="1" xfId="0" applyNumberFormat="1" applyFont="1" applyFill="1" applyBorder="1"/>
    <xf numFmtId="0" fontId="10" fillId="0" borderId="0" xfId="0" applyFont="1"/>
    <xf numFmtId="168" fontId="11" fillId="0" borderId="1" xfId="0" applyNumberFormat="1" applyFont="1" applyBorder="1"/>
    <xf numFmtId="0" fontId="11" fillId="0" borderId="1" xfId="0" applyFont="1" applyBorder="1"/>
    <xf numFmtId="0" fontId="2" fillId="0" borderId="0" xfId="0" applyFont="1" applyAlignment="1">
      <alignment horizontal="center"/>
    </xf>
    <xf numFmtId="168" fontId="11" fillId="4" borderId="1" xfId="0" applyNumberFormat="1" applyFont="1" applyFill="1" applyBorder="1"/>
    <xf numFmtId="168" fontId="6" fillId="4" borderId="1" xfId="0" applyNumberFormat="1" applyFont="1" applyFill="1" applyBorder="1"/>
    <xf numFmtId="1" fontId="5" fillId="0" borderId="1" xfId="0" applyNumberFormat="1" applyFont="1" applyBorder="1"/>
    <xf numFmtId="168" fontId="6" fillId="0" borderId="1" xfId="0" applyNumberFormat="1" applyFont="1" applyBorder="1"/>
    <xf numFmtId="0" fontId="13" fillId="0" borderId="0" xfId="0" applyFont="1" applyAlignment="1">
      <alignment vertical="center"/>
    </xf>
    <xf numFmtId="0" fontId="0" fillId="0" borderId="0" xfId="0" applyAlignment="1">
      <alignment horizontal="left" vertical="center" indent="1"/>
    </xf>
    <xf numFmtId="0" fontId="0" fillId="0" borderId="0" xfId="0" applyAlignment="1">
      <alignment wrapText="1"/>
    </xf>
    <xf numFmtId="0" fontId="0" fillId="0" borderId="0" xfId="0" applyAlignment="1">
      <alignment horizontal="left"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12" fillId="0" borderId="0" xfId="0" applyFont="1" applyAlignment="1">
      <alignment wrapText="1"/>
    </xf>
    <xf numFmtId="0" fontId="9" fillId="0" borderId="0" xfId="0" applyFont="1" applyAlignment="1">
      <alignment vertical="top" wrapText="1"/>
    </xf>
    <xf numFmtId="0" fontId="11" fillId="0" borderId="0" xfId="0" applyFont="1"/>
    <xf numFmtId="0" fontId="4" fillId="0" borderId="0" xfId="0" applyFont="1"/>
  </cellXfs>
  <cellStyles count="1">
    <cellStyle name="Normal" xfId="0" builtinId="0"/>
  </cellStyles>
  <dxfs count="2">
    <dxf>
      <fill>
        <patternFill patternType="solid">
          <fgColor rgb="FFC6EFCE"/>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Commercial Property Loss Ratio vs Target</a:t>
            </a:r>
          </a:p>
        </c:rich>
      </c:tx>
      <c:overlay val="1"/>
    </c:title>
    <c:autoTitleDeleted val="0"/>
    <c:plotArea>
      <c:layout/>
      <c:lineChart>
        <c:grouping val="standard"/>
        <c:varyColors val="1"/>
        <c:ser>
          <c:idx val="0"/>
          <c:order val="0"/>
          <c:tx>
            <c:strRef>
              <c:f>LR_Model!$H$5</c:f>
              <c:strCache>
                <c:ptCount val="1"/>
                <c:pt idx="0">
                  <c:v>Loss Ratio (earned)</c:v>
                </c:pt>
              </c:strCache>
            </c:strRef>
          </c:tx>
          <c:spPr>
            <a:ln>
              <a:prstDash val="solid"/>
            </a:ln>
          </c:spPr>
          <c:marker>
            <c:symbol val="none"/>
          </c:marker>
          <c:cat>
            <c:strRef>
              <c:f>LR_Model!$A$6:$A$17</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LR_Model!$H$6:$H$17</c:f>
              <c:numCache>
                <c:formatCode>0.0%;\(0.0%\);"-"</c:formatCode>
                <c:ptCount val="12"/>
                <c:pt idx="0">
                  <c:v>0.70575030219305823</c:v>
                </c:pt>
                <c:pt idx="1">
                  <c:v>0.65530864197530869</c:v>
                </c:pt>
                <c:pt idx="2">
                  <c:v>0.75334669338677351</c:v>
                </c:pt>
                <c:pt idx="3">
                  <c:v>0.6103395061728395</c:v>
                </c:pt>
                <c:pt idx="4">
                  <c:v>0.57196655871055213</c:v>
                </c:pt>
                <c:pt idx="5">
                  <c:v>0.82245508982035931</c:v>
                </c:pt>
                <c:pt idx="6">
                  <c:v>0.6273360205203371</c:v>
                </c:pt>
                <c:pt idx="7">
                  <c:v>0.75053158652856844</c:v>
                </c:pt>
                <c:pt idx="8">
                  <c:v>0.63686583275128583</c:v>
                </c:pt>
                <c:pt idx="9">
                  <c:v>0.62200956937799046</c:v>
                </c:pt>
                <c:pt idx="10">
                  <c:v>0.4528978484202365</c:v>
                </c:pt>
                <c:pt idx="11">
                  <c:v>0.4997814112092332</c:v>
                </c:pt>
              </c:numCache>
            </c:numRef>
          </c:val>
          <c:smooth val="1"/>
          <c:extLst>
            <c:ext xmlns:c16="http://schemas.microsoft.com/office/drawing/2014/chart" uri="{C3380CC4-5D6E-409C-BE32-E72D297353CC}">
              <c16:uniqueId val="{00000000-B1A6-43B4-9AD1-9AF3A50E96B1}"/>
            </c:ext>
          </c:extLst>
        </c:ser>
        <c:ser>
          <c:idx val="1"/>
          <c:order val="1"/>
          <c:tx>
            <c:strRef>
              <c:f>LR_Model!$J$5</c:f>
              <c:strCache>
                <c:ptCount val="1"/>
                <c:pt idx="0">
                  <c:v>Target LR</c:v>
                </c:pt>
              </c:strCache>
            </c:strRef>
          </c:tx>
          <c:spPr>
            <a:ln>
              <a:prstDash val="dash"/>
            </a:ln>
          </c:spPr>
          <c:marker>
            <c:symbol val="none"/>
          </c:marker>
          <c:cat>
            <c:strRef>
              <c:f>LR_Model!$A$6:$A$17</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LR_Model!$J$6:$J$17</c:f>
              <c:numCache>
                <c:formatCode>0.0%;\(0.0%\);"-"</c:formatCode>
                <c:ptCount val="12"/>
                <c:pt idx="0">
                  <c:v>0.65</c:v>
                </c:pt>
                <c:pt idx="1">
                  <c:v>0.65</c:v>
                </c:pt>
                <c:pt idx="2">
                  <c:v>0.65</c:v>
                </c:pt>
                <c:pt idx="3">
                  <c:v>0.65</c:v>
                </c:pt>
                <c:pt idx="4">
                  <c:v>0.65</c:v>
                </c:pt>
                <c:pt idx="5">
                  <c:v>0.65</c:v>
                </c:pt>
                <c:pt idx="6">
                  <c:v>0.65</c:v>
                </c:pt>
                <c:pt idx="7">
                  <c:v>0.65</c:v>
                </c:pt>
                <c:pt idx="8">
                  <c:v>0.65</c:v>
                </c:pt>
                <c:pt idx="9">
                  <c:v>0.65</c:v>
                </c:pt>
                <c:pt idx="10">
                  <c:v>0.65</c:v>
                </c:pt>
                <c:pt idx="11">
                  <c:v>0.65</c:v>
                </c:pt>
              </c:numCache>
            </c:numRef>
          </c:val>
          <c:smooth val="1"/>
          <c:extLst>
            <c:ext xmlns:c16="http://schemas.microsoft.com/office/drawing/2014/chart" uri="{C3380CC4-5D6E-409C-BE32-E72D297353CC}">
              <c16:uniqueId val="{00000001-B1A6-43B4-9AD1-9AF3A50E96B1}"/>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IN"/>
                  <a:t>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IN"/>
                  <a:t>Loss ratio</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Earned Premium vs Total Incurred ($mm)</a:t>
            </a:r>
          </a:p>
        </c:rich>
      </c:tx>
      <c:overlay val="1"/>
    </c:title>
    <c:autoTitleDeleted val="0"/>
    <c:plotArea>
      <c:layout/>
      <c:barChart>
        <c:barDir val="col"/>
        <c:grouping val="clustered"/>
        <c:varyColors val="1"/>
        <c:ser>
          <c:idx val="0"/>
          <c:order val="0"/>
          <c:tx>
            <c:strRef>
              <c:f>LR_Model!$D$5</c:f>
              <c:strCache>
                <c:ptCount val="1"/>
                <c:pt idx="0">
                  <c:v>Net Earned Premium ($mm)</c:v>
                </c:pt>
              </c:strCache>
            </c:strRef>
          </c:tx>
          <c:spPr>
            <a:ln>
              <a:prstDash val="solid"/>
            </a:ln>
          </c:spPr>
          <c:invertIfNegative val="1"/>
          <c:cat>
            <c:strRef>
              <c:f>LR_Model!$A$6:$A$17</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LR_Model!$D$6:$D$17</c:f>
              <c:numCache>
                <c:formatCode>\$#,##0;\(\$#,##0\);"-"</c:formatCode>
                <c:ptCount val="12"/>
                <c:pt idx="0">
                  <c:v>5791</c:v>
                </c:pt>
                <c:pt idx="1">
                  <c:v>6075</c:v>
                </c:pt>
                <c:pt idx="2">
                  <c:v>6237.5</c:v>
                </c:pt>
                <c:pt idx="3">
                  <c:v>6480</c:v>
                </c:pt>
                <c:pt idx="4">
                  <c:v>6638.5</c:v>
                </c:pt>
                <c:pt idx="5">
                  <c:v>6680</c:v>
                </c:pt>
                <c:pt idx="6">
                  <c:v>6822.5</c:v>
                </c:pt>
                <c:pt idx="7">
                  <c:v>7289.5</c:v>
                </c:pt>
                <c:pt idx="8">
                  <c:v>7874.5</c:v>
                </c:pt>
                <c:pt idx="9">
                  <c:v>8882.5</c:v>
                </c:pt>
                <c:pt idx="10">
                  <c:v>10318</c:v>
                </c:pt>
                <c:pt idx="11">
                  <c:v>11437</c:v>
                </c:pt>
              </c:numCache>
            </c:numRef>
          </c:val>
          <c:extLst>
            <c:ext xmlns:c16="http://schemas.microsoft.com/office/drawing/2014/chart" uri="{C3380CC4-5D6E-409C-BE32-E72D297353CC}">
              <c16:uniqueId val="{00000000-FD1A-4046-994F-65DE583E7075}"/>
            </c:ext>
          </c:extLst>
        </c:ser>
        <c:ser>
          <c:idx val="1"/>
          <c:order val="1"/>
          <c:tx>
            <c:strRef>
              <c:f>LR_Model!$G$5</c:f>
              <c:strCache>
                <c:ptCount val="1"/>
                <c:pt idx="0">
                  <c:v>Total Incurred ($mm)</c:v>
                </c:pt>
              </c:strCache>
            </c:strRef>
          </c:tx>
          <c:spPr>
            <a:ln>
              <a:prstDash val="solid"/>
            </a:ln>
          </c:spPr>
          <c:invertIfNegative val="1"/>
          <c:cat>
            <c:strRef>
              <c:f>LR_Model!$A$6:$A$17</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LR_Model!$G$6:$G$17</c:f>
              <c:numCache>
                <c:formatCode>\$#,##0;\(\$#,##0\);"-"</c:formatCode>
                <c:ptCount val="12"/>
                <c:pt idx="0">
                  <c:v>4087</c:v>
                </c:pt>
                <c:pt idx="1">
                  <c:v>3981</c:v>
                </c:pt>
                <c:pt idx="2">
                  <c:v>4699</c:v>
                </c:pt>
                <c:pt idx="3">
                  <c:v>3955</c:v>
                </c:pt>
                <c:pt idx="4">
                  <c:v>3797</c:v>
                </c:pt>
                <c:pt idx="5">
                  <c:v>5494</c:v>
                </c:pt>
                <c:pt idx="6">
                  <c:v>4280</c:v>
                </c:pt>
                <c:pt idx="7">
                  <c:v>5471</c:v>
                </c:pt>
                <c:pt idx="8">
                  <c:v>5015</c:v>
                </c:pt>
                <c:pt idx="9">
                  <c:v>5525</c:v>
                </c:pt>
                <c:pt idx="10">
                  <c:v>4673</c:v>
                </c:pt>
                <c:pt idx="11">
                  <c:v>5716</c:v>
                </c:pt>
              </c:numCache>
            </c:numRef>
          </c:val>
          <c:extLst>
            <c:ext xmlns:c16="http://schemas.microsoft.com/office/drawing/2014/chart" uri="{C3380CC4-5D6E-409C-BE32-E72D297353CC}">
              <c16:uniqueId val="{00000001-FD1A-4046-994F-65DE583E707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Net loss ratio by line, 2022 (written basis)</a:t>
            </a:r>
          </a:p>
        </c:rich>
      </c:tx>
      <c:overlay val="1"/>
    </c:title>
    <c:autoTitleDeleted val="0"/>
    <c:plotArea>
      <c:layout/>
      <c:barChart>
        <c:barDir val="bar"/>
        <c:grouping val="clustered"/>
        <c:varyColors val="1"/>
        <c:ser>
          <c:idx val="0"/>
          <c:order val="0"/>
          <c:tx>
            <c:strRef>
              <c:f>Line_Comparison_2022!$G$4</c:f>
              <c:strCache>
                <c:ptCount val="1"/>
                <c:pt idx="0">
                  <c:v>Net LR</c:v>
                </c:pt>
              </c:strCache>
            </c:strRef>
          </c:tx>
          <c:spPr>
            <a:ln>
              <a:prstDash val="solid"/>
            </a:ln>
          </c:spPr>
          <c:invertIfNegative val="1"/>
          <c:cat>
            <c:strRef>
              <c:f>Line_Comparison_2022!$A$5:$A$11</c:f>
              <c:strCache>
                <c:ptCount val="7"/>
                <c:pt idx="0">
                  <c:v>Total auto</c:v>
                </c:pt>
                <c:pt idx="1">
                  <c:v>   Auto - private passenger</c:v>
                </c:pt>
                <c:pt idx="2">
                  <c:v>Personal property</c:v>
                </c:pt>
                <c:pt idx="3">
                  <c:v>Commercial property</c:v>
                </c:pt>
                <c:pt idx="4">
                  <c:v>Liability</c:v>
                </c:pt>
                <c:pt idx="5">
                  <c:v>Specialized</c:v>
                </c:pt>
                <c:pt idx="6">
                  <c:v>Accident and sickness</c:v>
                </c:pt>
              </c:strCache>
            </c:strRef>
          </c:cat>
          <c:val>
            <c:numRef>
              <c:f>Line_Comparison_2022!$G$5:$G$11</c:f>
              <c:numCache>
                <c:formatCode>0.0%;\(0.0%\);"-"</c:formatCode>
                <c:ptCount val="7"/>
                <c:pt idx="0">
                  <c:v>0.61535851617281156</c:v>
                </c:pt>
                <c:pt idx="1">
                  <c:v>0.63752031576503365</c:v>
                </c:pt>
                <c:pt idx="2">
                  <c:v>0.57151523321650044</c:v>
                </c:pt>
                <c:pt idx="3">
                  <c:v>0.48065926673393877</c:v>
                </c:pt>
                <c:pt idx="4">
                  <c:v>0.31687440076701823</c:v>
                </c:pt>
                <c:pt idx="5">
                  <c:v>0.21202531645569619</c:v>
                </c:pt>
                <c:pt idx="6">
                  <c:v>0.59959072305593453</c:v>
                </c:pt>
              </c:numCache>
            </c:numRef>
          </c:val>
          <c:extLst>
            <c:ext xmlns:c16="http://schemas.microsoft.com/office/drawing/2014/chart" uri="{C3380CC4-5D6E-409C-BE32-E72D297353CC}">
              <c16:uniqueId val="{00000000-AE89-4A7A-99DC-05061FD2AD9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0%" sourceLinked="0"/>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Development pattern: % of ultimate by age</a:t>
            </a:r>
          </a:p>
        </c:rich>
      </c:tx>
      <c:overlay val="1"/>
    </c:title>
    <c:autoTitleDeleted val="0"/>
    <c:plotArea>
      <c:layout/>
      <c:lineChart>
        <c:grouping val="standard"/>
        <c:varyColors val="1"/>
        <c:ser>
          <c:idx val="0"/>
          <c:order val="0"/>
          <c:tx>
            <c:v>Paid</c:v>
          </c:tx>
          <c:spPr>
            <a:ln>
              <a:prstDash val="solid"/>
            </a:ln>
          </c:spPr>
          <c:marker>
            <c:symbol val="none"/>
          </c:marker>
          <c:cat>
            <c:strRef>
              <c:f>Chain_Ladder!$B$20:$K$20</c:f>
              <c:strCache>
                <c:ptCount val="10"/>
                <c:pt idx="0">
                  <c:v>12 mo</c:v>
                </c:pt>
                <c:pt idx="1">
                  <c:v>24 mo</c:v>
                </c:pt>
                <c:pt idx="2">
                  <c:v>36 mo</c:v>
                </c:pt>
                <c:pt idx="3">
                  <c:v>48 mo</c:v>
                </c:pt>
                <c:pt idx="4">
                  <c:v>60 mo</c:v>
                </c:pt>
                <c:pt idx="5">
                  <c:v>72 mo</c:v>
                </c:pt>
                <c:pt idx="6">
                  <c:v>84 mo</c:v>
                </c:pt>
                <c:pt idx="7">
                  <c:v>96 mo</c:v>
                </c:pt>
                <c:pt idx="8">
                  <c:v>108 mo</c:v>
                </c:pt>
                <c:pt idx="9">
                  <c:v>120 mo</c:v>
                </c:pt>
              </c:strCache>
            </c:strRef>
          </c:cat>
          <c:val>
            <c:numRef>
              <c:f>Chain_Ladder!$B$27:$K$27</c:f>
              <c:numCache>
                <c:formatCode>0.0%;\(0.0%\);"-"</c:formatCode>
                <c:ptCount val="10"/>
                <c:pt idx="0">
                  <c:v>0.51574634804486252</c:v>
                </c:pt>
                <c:pt idx="1">
                  <c:v>0.79215790223867932</c:v>
                </c:pt>
                <c:pt idx="2">
                  <c:v>0.90014859208066578</c:v>
                </c:pt>
                <c:pt idx="3">
                  <c:v>0.95133447302284213</c:v>
                </c:pt>
                <c:pt idx="4">
                  <c:v>0.97999760707134287</c:v>
                </c:pt>
                <c:pt idx="5">
                  <c:v>0.99106797541131408</c:v>
                </c:pt>
                <c:pt idx="6">
                  <c:v>0.99479965768357204</c:v>
                </c:pt>
                <c:pt idx="7">
                  <c:v>0.99801153808613408</c:v>
                </c:pt>
                <c:pt idx="8">
                  <c:v>0.99893594381783357</c:v>
                </c:pt>
                <c:pt idx="9">
                  <c:v>1</c:v>
                </c:pt>
              </c:numCache>
            </c:numRef>
          </c:val>
          <c:smooth val="1"/>
          <c:extLst>
            <c:ext xmlns:c16="http://schemas.microsoft.com/office/drawing/2014/chart" uri="{C3380CC4-5D6E-409C-BE32-E72D297353CC}">
              <c16:uniqueId val="{00000000-F88B-442F-B19A-CF34457B6CC8}"/>
            </c:ext>
          </c:extLst>
        </c:ser>
        <c:ser>
          <c:idx val="1"/>
          <c:order val="1"/>
          <c:tx>
            <c:v>Reported</c:v>
          </c:tx>
          <c:spPr>
            <a:ln>
              <a:prstDash val="solid"/>
            </a:ln>
          </c:spPr>
          <c:marker>
            <c:symbol val="none"/>
          </c:marker>
          <c:cat>
            <c:strRef>
              <c:f>Chain_Ladder!$B$20:$K$20</c:f>
              <c:strCache>
                <c:ptCount val="10"/>
                <c:pt idx="0">
                  <c:v>12 mo</c:v>
                </c:pt>
                <c:pt idx="1">
                  <c:v>24 mo</c:v>
                </c:pt>
                <c:pt idx="2">
                  <c:v>36 mo</c:v>
                </c:pt>
                <c:pt idx="3">
                  <c:v>48 mo</c:v>
                </c:pt>
                <c:pt idx="4">
                  <c:v>60 mo</c:v>
                </c:pt>
                <c:pt idx="5">
                  <c:v>72 mo</c:v>
                </c:pt>
                <c:pt idx="6">
                  <c:v>84 mo</c:v>
                </c:pt>
                <c:pt idx="7">
                  <c:v>96 mo</c:v>
                </c:pt>
                <c:pt idx="8">
                  <c:v>108 mo</c:v>
                </c:pt>
                <c:pt idx="9">
                  <c:v>120 mo</c:v>
                </c:pt>
              </c:strCache>
            </c:strRef>
          </c:cat>
          <c:val>
            <c:numRef>
              <c:f>Chain_Ladder!$B$48:$K$48</c:f>
              <c:numCache>
                <c:formatCode>0.0%;\(0.0%\);"-"</c:formatCode>
                <c:ptCount val="10"/>
                <c:pt idx="0">
                  <c:v>0.82151404917244586</c:v>
                </c:pt>
                <c:pt idx="1">
                  <c:v>0.96979616115770473</c:v>
                </c:pt>
                <c:pt idx="2">
                  <c:v>0.98732808221073942</c:v>
                </c:pt>
                <c:pt idx="3">
                  <c:v>0.99239709719997593</c:v>
                </c:pt>
                <c:pt idx="4">
                  <c:v>1.0002912879045196</c:v>
                </c:pt>
                <c:pt idx="5">
                  <c:v>1.0029019567925395</c:v>
                </c:pt>
                <c:pt idx="6">
                  <c:v>0.99905600364305425</c:v>
                </c:pt>
                <c:pt idx="7">
                  <c:v>0.9995377859949155</c:v>
                </c:pt>
                <c:pt idx="8">
                  <c:v>1</c:v>
                </c:pt>
                <c:pt idx="9">
                  <c:v>1</c:v>
                </c:pt>
              </c:numCache>
            </c:numRef>
          </c:val>
          <c:smooth val="1"/>
          <c:extLst>
            <c:ext xmlns:c16="http://schemas.microsoft.com/office/drawing/2014/chart" uri="{C3380CC4-5D6E-409C-BE32-E72D297353CC}">
              <c16:uniqueId val="{00000001-F88B-442F-B19A-CF34457B6CC8}"/>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Ultimate loss ratio by accident year (selected method)</a:t>
            </a:r>
          </a:p>
        </c:rich>
      </c:tx>
      <c:overlay val="1"/>
    </c:title>
    <c:autoTitleDeleted val="0"/>
    <c:plotArea>
      <c:layout/>
      <c:barChart>
        <c:barDir val="col"/>
        <c:grouping val="clustered"/>
        <c:varyColors val="1"/>
        <c:ser>
          <c:idx val="0"/>
          <c:order val="0"/>
          <c:tx>
            <c:strRef>
              <c:f>Reserve_Summary!$O$7</c:f>
              <c:strCache>
                <c:ptCount val="1"/>
                <c:pt idx="0">
                  <c:v>Ultimate LR</c:v>
                </c:pt>
              </c:strCache>
            </c:strRef>
          </c:tx>
          <c:spPr>
            <a:ln>
              <a:prstDash val="solid"/>
            </a:ln>
          </c:spPr>
          <c:invertIfNegative val="1"/>
          <c:cat>
            <c:strRef>
              <c:f>Reserve_Summary!$A$8:$A$17</c:f>
              <c:strCache>
                <c:ptCount val="10"/>
                <c:pt idx="0">
                  <c:v>2013</c:v>
                </c:pt>
                <c:pt idx="1">
                  <c:v>2014</c:v>
                </c:pt>
                <c:pt idx="2">
                  <c:v>2015</c:v>
                </c:pt>
                <c:pt idx="3">
                  <c:v>2016</c:v>
                </c:pt>
                <c:pt idx="4">
                  <c:v>2017</c:v>
                </c:pt>
                <c:pt idx="5">
                  <c:v>2018</c:v>
                </c:pt>
                <c:pt idx="6">
                  <c:v>2019</c:v>
                </c:pt>
                <c:pt idx="7">
                  <c:v>2020</c:v>
                </c:pt>
                <c:pt idx="8">
                  <c:v>2021</c:v>
                </c:pt>
                <c:pt idx="9">
                  <c:v>2022</c:v>
                </c:pt>
              </c:strCache>
            </c:strRef>
          </c:cat>
          <c:val>
            <c:numRef>
              <c:f>Reserve_Summary!$O$8:$O$17</c:f>
              <c:numCache>
                <c:formatCode>0.0%;\(0.0%\);"-"</c:formatCode>
                <c:ptCount val="10"/>
                <c:pt idx="0">
                  <c:v>0.75334669338677351</c:v>
                </c:pt>
                <c:pt idx="1">
                  <c:v>0.6103395061728395</c:v>
                </c:pt>
                <c:pt idx="2">
                  <c:v>0.57238175801431579</c:v>
                </c:pt>
                <c:pt idx="3">
                  <c:v>0.82143411344529382</c:v>
                </c:pt>
                <c:pt idx="4">
                  <c:v>0.6266899839571376</c:v>
                </c:pt>
                <c:pt idx="5">
                  <c:v>0.75799307504953828</c:v>
                </c:pt>
                <c:pt idx="6">
                  <c:v>0.63573059776401197</c:v>
                </c:pt>
                <c:pt idx="7">
                  <c:v>0.64128134469364806</c:v>
                </c:pt>
                <c:pt idx="8">
                  <c:v>0.44341812837098454</c:v>
                </c:pt>
                <c:pt idx="9">
                  <c:v>0.51225799535404515</c:v>
                </c:pt>
              </c:numCache>
            </c:numRef>
          </c:val>
          <c:extLst>
            <c:ext xmlns:c16="http://schemas.microsoft.com/office/drawing/2014/chart" uri="{C3380CC4-5D6E-409C-BE32-E72D297353CC}">
              <c16:uniqueId val="{00000000-9DA1-4A91-ADAD-8397F142BA0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14</xdr:col>
      <xdr:colOff>0</xdr:colOff>
      <xdr:row>4</xdr:row>
      <xdr:rowOff>0</xdr:rowOff>
    </xdr:from>
    <xdr:ext cx="648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14</xdr:col>
      <xdr:colOff>0</xdr:colOff>
      <xdr:row>21</xdr:row>
      <xdr:rowOff>0</xdr:rowOff>
    </xdr:from>
    <xdr:ext cx="6480000" cy="288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19</xdr:row>
      <xdr:rowOff>0</xdr:rowOff>
    </xdr:from>
    <xdr:ext cx="576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12</xdr:col>
      <xdr:colOff>0</xdr:colOff>
      <xdr:row>7</xdr:row>
      <xdr:rowOff>0</xdr:rowOff>
    </xdr:from>
    <xdr:ext cx="6480000" cy="288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19</xdr:row>
      <xdr:rowOff>0</xdr:rowOff>
    </xdr:from>
    <xdr:ext cx="6480000" cy="28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C21"/>
  <sheetViews>
    <sheetView showGridLines="0" tabSelected="1" workbookViewId="0">
      <selection activeCell="C1" sqref="C1"/>
    </sheetView>
  </sheetViews>
  <sheetFormatPr defaultRowHeight="14.4" x14ac:dyDescent="0.3"/>
  <cols>
    <col min="1" max="1" width="3" customWidth="1"/>
    <col min="2" max="2" width="28" customWidth="1"/>
    <col min="3" max="3" width="95" customWidth="1"/>
  </cols>
  <sheetData>
    <row r="1" spans="1:3" x14ac:dyDescent="0.3">
      <c r="A1" s="1"/>
      <c r="B1" s="1"/>
      <c r="C1" s="1"/>
    </row>
    <row r="2" spans="1:3" ht="17.399999999999999" x14ac:dyDescent="0.3">
      <c r="A2" s="1"/>
      <c r="B2" s="2" t="s">
        <v>0</v>
      </c>
      <c r="C2" s="1"/>
    </row>
    <row r="3" spans="1:3" x14ac:dyDescent="0.3">
      <c r="A3" s="1"/>
      <c r="B3" s="3" t="s">
        <v>32</v>
      </c>
      <c r="C3" s="1"/>
    </row>
    <row r="4" spans="1:3" x14ac:dyDescent="0.3">
      <c r="A4" s="1"/>
      <c r="B4" s="1"/>
      <c r="C4" s="1"/>
    </row>
    <row r="5" spans="1:3" ht="30" customHeight="1" x14ac:dyDescent="0.3">
      <c r="A5" s="1"/>
      <c r="B5" s="4" t="s">
        <v>33</v>
      </c>
      <c r="C5" s="5" t="s">
        <v>34</v>
      </c>
    </row>
    <row r="6" spans="1:3" ht="15" customHeight="1" x14ac:dyDescent="0.3">
      <c r="A6" s="1"/>
      <c r="B6" s="4" t="s">
        <v>35</v>
      </c>
      <c r="C6" s="5" t="s">
        <v>36</v>
      </c>
    </row>
    <row r="7" spans="1:3" ht="45" customHeight="1" x14ac:dyDescent="0.3">
      <c r="A7" s="1"/>
      <c r="B7" s="4" t="s">
        <v>37</v>
      </c>
      <c r="C7" s="5" t="s">
        <v>38</v>
      </c>
    </row>
    <row r="8" spans="1:3" ht="15" customHeight="1" x14ac:dyDescent="0.3">
      <c r="A8" s="1"/>
      <c r="B8" s="4" t="s">
        <v>39</v>
      </c>
      <c r="C8" s="5" t="s">
        <v>40</v>
      </c>
    </row>
    <row r="9" spans="1:3" ht="45" customHeight="1" x14ac:dyDescent="0.3">
      <c r="A9" s="1"/>
      <c r="B9" s="4" t="s">
        <v>41</v>
      </c>
      <c r="C9" s="5" t="s">
        <v>42</v>
      </c>
    </row>
    <row r="10" spans="1:3" ht="30" customHeight="1" x14ac:dyDescent="0.3">
      <c r="A10" s="1"/>
      <c r="B10" s="4" t="s">
        <v>43</v>
      </c>
      <c r="C10" s="5" t="s">
        <v>44</v>
      </c>
    </row>
    <row r="11" spans="1:3" ht="60" customHeight="1" x14ac:dyDescent="0.3">
      <c r="A11" s="1"/>
      <c r="B11" s="4" t="s">
        <v>45</v>
      </c>
      <c r="C11" s="5" t="s">
        <v>46</v>
      </c>
    </row>
    <row r="12" spans="1:3" ht="30" customHeight="1" x14ac:dyDescent="0.3">
      <c r="A12" s="1"/>
      <c r="B12" s="4" t="s">
        <v>47</v>
      </c>
      <c r="C12" s="5" t="s">
        <v>48</v>
      </c>
    </row>
    <row r="13" spans="1:3" ht="45" customHeight="1" x14ac:dyDescent="0.3">
      <c r="A13" s="1"/>
      <c r="B13" s="4" t="s">
        <v>49</v>
      </c>
      <c r="C13" s="5" t="s">
        <v>50</v>
      </c>
    </row>
    <row r="14" spans="1:3" ht="60" customHeight="1" x14ac:dyDescent="0.3">
      <c r="A14" s="1"/>
      <c r="B14" s="4" t="s">
        <v>51</v>
      </c>
      <c r="C14" s="5" t="s">
        <v>52</v>
      </c>
    </row>
    <row r="15" spans="1:3" x14ac:dyDescent="0.3">
      <c r="A15" s="1"/>
      <c r="B15" s="1"/>
      <c r="C15" s="1"/>
    </row>
    <row r="16" spans="1:3" x14ac:dyDescent="0.3">
      <c r="A16" s="1"/>
      <c r="B16" s="1"/>
      <c r="C16" s="1"/>
    </row>
    <row r="17" spans="1:3" x14ac:dyDescent="0.3">
      <c r="A17" s="1"/>
      <c r="B17" s="6" t="s">
        <v>53</v>
      </c>
      <c r="C17" s="1"/>
    </row>
    <row r="18" spans="1:3" x14ac:dyDescent="0.3">
      <c r="A18" s="1"/>
      <c r="B18" s="7">
        <v>1000</v>
      </c>
      <c r="C18" s="8" t="s">
        <v>54</v>
      </c>
    </row>
    <row r="19" spans="1:3" x14ac:dyDescent="0.3">
      <c r="A19" s="1"/>
      <c r="B19" s="8">
        <f>B18*2</f>
        <v>2000</v>
      </c>
      <c r="C19" s="8" t="s">
        <v>55</v>
      </c>
    </row>
    <row r="20" spans="1:3" x14ac:dyDescent="0.3">
      <c r="A20" s="1"/>
      <c r="B20" s="9">
        <f>Inputs!C5</f>
        <v>0.5</v>
      </c>
      <c r="C20" s="8" t="s">
        <v>56</v>
      </c>
    </row>
    <row r="21" spans="1:3" x14ac:dyDescent="0.3">
      <c r="A21" s="1"/>
      <c r="B21" s="10">
        <v>0.65</v>
      </c>
      <c r="C21" s="8"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E26"/>
  <sheetViews>
    <sheetView showGridLines="0" workbookViewId="0"/>
  </sheetViews>
  <sheetFormatPr defaultRowHeight="14.4" x14ac:dyDescent="0.3"/>
  <cols>
    <col min="1" max="1" width="14" customWidth="1"/>
    <col min="2" max="2" width="40" customWidth="1"/>
    <col min="3" max="4" width="16" customWidth="1"/>
    <col min="5" max="5" width="60" customWidth="1"/>
  </cols>
  <sheetData>
    <row r="1" spans="1:5" ht="17.399999999999999" x14ac:dyDescent="0.3">
      <c r="A1" s="2" t="s">
        <v>58</v>
      </c>
      <c r="B1" s="1"/>
      <c r="C1" s="1"/>
      <c r="D1" s="1"/>
      <c r="E1" s="1"/>
    </row>
    <row r="2" spans="1:5" x14ac:dyDescent="0.3">
      <c r="A2" s="3" t="s">
        <v>59</v>
      </c>
      <c r="B2" s="1"/>
      <c r="C2" s="1"/>
      <c r="D2" s="1"/>
      <c r="E2" s="1"/>
    </row>
    <row r="3" spans="1:5" x14ac:dyDescent="0.3">
      <c r="A3" s="1"/>
      <c r="B3" s="1"/>
      <c r="C3" s="1"/>
      <c r="D3" s="1"/>
      <c r="E3" s="1"/>
    </row>
    <row r="4" spans="1:5" x14ac:dyDescent="0.3">
      <c r="A4" s="6" t="s">
        <v>60</v>
      </c>
      <c r="B4" s="1"/>
      <c r="C4" s="1"/>
      <c r="D4" s="1"/>
      <c r="E4" s="1"/>
    </row>
    <row r="5" spans="1:5" x14ac:dyDescent="0.3">
      <c r="A5" s="1"/>
      <c r="B5" s="8" t="s">
        <v>61</v>
      </c>
      <c r="C5" s="11">
        <v>0.5</v>
      </c>
      <c r="D5" s="1"/>
      <c r="E5" s="3" t="s">
        <v>62</v>
      </c>
    </row>
    <row r="6" spans="1:5" x14ac:dyDescent="0.3">
      <c r="A6" s="1"/>
      <c r="B6" s="8" t="s">
        <v>63</v>
      </c>
      <c r="C6" s="11">
        <v>0</v>
      </c>
      <c r="D6" s="1"/>
      <c r="E6" s="3" t="s">
        <v>64</v>
      </c>
    </row>
    <row r="7" spans="1:5" x14ac:dyDescent="0.3">
      <c r="A7" s="1"/>
      <c r="B7" s="8" t="s">
        <v>65</v>
      </c>
      <c r="C7" s="11">
        <v>0.65</v>
      </c>
      <c r="D7" s="1"/>
      <c r="E7" s="3" t="s">
        <v>66</v>
      </c>
    </row>
    <row r="8" spans="1:5" x14ac:dyDescent="0.3">
      <c r="A8" s="1"/>
      <c r="B8" s="1"/>
      <c r="C8" s="1"/>
      <c r="D8" s="1"/>
      <c r="E8" s="1"/>
    </row>
    <row r="9" spans="1:5" x14ac:dyDescent="0.3">
      <c r="A9" s="1"/>
      <c r="B9" s="1"/>
      <c r="C9" s="1"/>
      <c r="D9" s="1"/>
      <c r="E9" s="1"/>
    </row>
    <row r="10" spans="1:5" x14ac:dyDescent="0.3">
      <c r="A10" s="6" t="s">
        <v>67</v>
      </c>
      <c r="B10" s="1"/>
      <c r="C10" s="1"/>
      <c r="D10" s="1"/>
      <c r="E10" s="1"/>
    </row>
    <row r="11" spans="1:5" ht="31.95" customHeight="1" x14ac:dyDescent="0.3">
      <c r="A11" s="12" t="s">
        <v>5</v>
      </c>
      <c r="B11" s="12" t="s">
        <v>68</v>
      </c>
      <c r="C11" s="12" t="s">
        <v>69</v>
      </c>
      <c r="D11" s="12" t="s">
        <v>9</v>
      </c>
      <c r="E11" s="12" t="s">
        <v>70</v>
      </c>
    </row>
    <row r="12" spans="1:5" x14ac:dyDescent="0.3">
      <c r="A12" s="13" t="s">
        <v>71</v>
      </c>
      <c r="B12" s="14" t="s">
        <v>72</v>
      </c>
      <c r="C12" s="15">
        <v>5568</v>
      </c>
      <c r="D12" s="15">
        <v>3276</v>
      </c>
      <c r="E12" s="14" t="s">
        <v>73</v>
      </c>
    </row>
    <row r="13" spans="1:5" x14ac:dyDescent="0.3">
      <c r="A13" s="13" t="s">
        <v>74</v>
      </c>
      <c r="B13" s="16"/>
      <c r="C13" s="15">
        <v>6014</v>
      </c>
      <c r="D13" s="15">
        <v>4087</v>
      </c>
      <c r="E13" s="14" t="s">
        <v>73</v>
      </c>
    </row>
    <row r="14" spans="1:5" x14ac:dyDescent="0.3">
      <c r="A14" s="13" t="s">
        <v>75</v>
      </c>
      <c r="B14" s="16"/>
      <c r="C14" s="15">
        <v>6136</v>
      </c>
      <c r="D14" s="15">
        <v>3981</v>
      </c>
      <c r="E14" s="14" t="s">
        <v>73</v>
      </c>
    </row>
    <row r="15" spans="1:5" x14ac:dyDescent="0.3">
      <c r="A15" s="13" t="s">
        <v>76</v>
      </c>
      <c r="B15" s="16"/>
      <c r="C15" s="15">
        <v>6339</v>
      </c>
      <c r="D15" s="15">
        <v>4699</v>
      </c>
      <c r="E15" s="14" t="s">
        <v>73</v>
      </c>
    </row>
    <row r="16" spans="1:5" x14ac:dyDescent="0.3">
      <c r="A16" s="13" t="s">
        <v>77</v>
      </c>
      <c r="B16" s="14" t="s">
        <v>78</v>
      </c>
      <c r="C16" s="15">
        <v>6621</v>
      </c>
      <c r="D16" s="15">
        <v>3955</v>
      </c>
      <c r="E16" s="14" t="s">
        <v>73</v>
      </c>
    </row>
    <row r="17" spans="1:5" x14ac:dyDescent="0.3">
      <c r="A17" s="13" t="s">
        <v>79</v>
      </c>
      <c r="B17" s="16"/>
      <c r="C17" s="15">
        <v>6656</v>
      </c>
      <c r="D17" s="15">
        <v>3797</v>
      </c>
      <c r="E17" s="14" t="s">
        <v>73</v>
      </c>
    </row>
    <row r="18" spans="1:5" x14ac:dyDescent="0.3">
      <c r="A18" s="13" t="s">
        <v>80</v>
      </c>
      <c r="B18" s="16"/>
      <c r="C18" s="15">
        <v>6704</v>
      </c>
      <c r="D18" s="15">
        <v>5494</v>
      </c>
      <c r="E18" s="14" t="s">
        <v>73</v>
      </c>
    </row>
    <row r="19" spans="1:5" x14ac:dyDescent="0.3">
      <c r="A19" s="13" t="s">
        <v>81</v>
      </c>
      <c r="B19" s="16"/>
      <c r="C19" s="15">
        <v>6941</v>
      </c>
      <c r="D19" s="15">
        <v>4280</v>
      </c>
      <c r="E19" s="14" t="s">
        <v>73</v>
      </c>
    </row>
    <row r="20" spans="1:5" x14ac:dyDescent="0.3">
      <c r="A20" s="13" t="s">
        <v>82</v>
      </c>
      <c r="B20" s="16"/>
      <c r="C20" s="15">
        <v>7638</v>
      </c>
      <c r="D20" s="15">
        <v>5471</v>
      </c>
      <c r="E20" s="14" t="s">
        <v>73</v>
      </c>
    </row>
    <row r="21" spans="1:5" x14ac:dyDescent="0.3">
      <c r="A21" s="13" t="s">
        <v>83</v>
      </c>
      <c r="B21" s="16"/>
      <c r="C21" s="15">
        <v>8111</v>
      </c>
      <c r="D21" s="15">
        <v>5015</v>
      </c>
      <c r="E21" s="14" t="s">
        <v>73</v>
      </c>
    </row>
    <row r="22" spans="1:5" x14ac:dyDescent="0.3">
      <c r="A22" s="13" t="s">
        <v>84</v>
      </c>
      <c r="B22" s="14" t="s">
        <v>85</v>
      </c>
      <c r="C22" s="15">
        <v>9654</v>
      </c>
      <c r="D22" s="15">
        <v>5525</v>
      </c>
      <c r="E22" s="14" t="s">
        <v>73</v>
      </c>
    </row>
    <row r="23" spans="1:5" x14ac:dyDescent="0.3">
      <c r="A23" s="13" t="s">
        <v>86</v>
      </c>
      <c r="B23" s="16"/>
      <c r="C23" s="15">
        <v>10982</v>
      </c>
      <c r="D23" s="15">
        <v>4673</v>
      </c>
      <c r="E23" s="14" t="s">
        <v>73</v>
      </c>
    </row>
    <row r="24" spans="1:5" x14ac:dyDescent="0.3">
      <c r="A24" s="13" t="s">
        <v>87</v>
      </c>
      <c r="B24" s="16"/>
      <c r="C24" s="15">
        <v>11892</v>
      </c>
      <c r="D24" s="15">
        <v>5716</v>
      </c>
      <c r="E24" s="14" t="s">
        <v>73</v>
      </c>
    </row>
    <row r="25" spans="1:5" x14ac:dyDescent="0.3">
      <c r="A25" s="1"/>
      <c r="B25" s="1"/>
      <c r="C25" s="1"/>
      <c r="D25" s="1"/>
      <c r="E25" s="1"/>
    </row>
    <row r="26" spans="1:5" x14ac:dyDescent="0.3">
      <c r="A26" s="3" t="s">
        <v>38</v>
      </c>
      <c r="B26" s="1"/>
      <c r="C26" s="1"/>
      <c r="D26" s="1"/>
      <c r="E26" s="1"/>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M32"/>
  <sheetViews>
    <sheetView showGridLines="0" workbookViewId="0">
      <pane xSplit="1" ySplit="5" topLeftCell="B6" activePane="bottomRight" state="frozen"/>
      <selection pane="topRight"/>
      <selection pane="bottomLeft"/>
      <selection pane="bottomRight" activeCell="D17" sqref="D17"/>
    </sheetView>
  </sheetViews>
  <sheetFormatPr defaultRowHeight="14.4" x14ac:dyDescent="0.3"/>
  <cols>
    <col min="1" max="1" width="9" customWidth="1"/>
    <col min="2" max="5" width="14" customWidth="1"/>
    <col min="6" max="6" width="12" customWidth="1"/>
    <col min="7" max="7" width="14" customWidth="1"/>
    <col min="8" max="9" width="13" customWidth="1"/>
    <col min="10" max="10" width="11" customWidth="1"/>
    <col min="11" max="11" width="12" customWidth="1"/>
    <col min="12" max="12" width="15" customWidth="1"/>
    <col min="13" max="13" width="12" customWidth="1"/>
  </cols>
  <sheetData>
    <row r="1" spans="1:13" ht="17.399999999999999" x14ac:dyDescent="0.3">
      <c r="A1" s="2" t="s">
        <v>0</v>
      </c>
      <c r="B1" s="1"/>
      <c r="C1" s="1"/>
      <c r="D1" s="1"/>
      <c r="E1" s="1"/>
      <c r="F1" s="1"/>
      <c r="G1" s="1"/>
      <c r="H1" s="1"/>
      <c r="I1" s="1"/>
      <c r="J1" s="1"/>
      <c r="K1" s="1"/>
      <c r="L1" s="1"/>
      <c r="M1" s="1"/>
    </row>
    <row r="2" spans="1:13" x14ac:dyDescent="0.3">
      <c r="A2" s="3" t="s">
        <v>1</v>
      </c>
      <c r="B2" s="1"/>
      <c r="C2" s="1"/>
      <c r="D2" s="1"/>
      <c r="E2" s="1"/>
      <c r="F2" s="1"/>
      <c r="G2" s="1"/>
      <c r="H2" s="1"/>
      <c r="I2" s="1"/>
      <c r="J2" s="1"/>
      <c r="K2" s="1"/>
      <c r="L2" s="1"/>
      <c r="M2" s="1"/>
    </row>
    <row r="3" spans="1:13" x14ac:dyDescent="0.3">
      <c r="A3" s="6" t="s">
        <v>2</v>
      </c>
      <c r="B3" s="1"/>
      <c r="C3" s="9">
        <f>Inputs!C5</f>
        <v>0.5</v>
      </c>
      <c r="D3" s="6" t="s">
        <v>3</v>
      </c>
      <c r="E3" s="9">
        <f>Inputs!C6</f>
        <v>0</v>
      </c>
      <c r="F3" s="6" t="s">
        <v>4</v>
      </c>
      <c r="G3" s="9">
        <f>Inputs!C7</f>
        <v>0.65</v>
      </c>
      <c r="H3" s="1"/>
      <c r="I3" s="1"/>
      <c r="J3" s="1"/>
      <c r="K3" s="1"/>
      <c r="L3" s="1"/>
      <c r="M3" s="1"/>
    </row>
    <row r="4" spans="1:13" x14ac:dyDescent="0.3">
      <c r="A4" s="1"/>
      <c r="B4" s="1"/>
      <c r="C4" s="1"/>
      <c r="D4" s="1"/>
      <c r="E4" s="1"/>
      <c r="F4" s="1"/>
      <c r="G4" s="1"/>
      <c r="H4" s="1"/>
      <c r="I4" s="1"/>
      <c r="J4" s="1"/>
      <c r="K4" s="1"/>
      <c r="L4" s="1"/>
      <c r="M4" s="1"/>
    </row>
    <row r="5" spans="1:13" ht="31.95" customHeight="1" x14ac:dyDescent="0.3">
      <c r="A5" s="12" t="s">
        <v>5</v>
      </c>
      <c r="B5" s="12" t="s">
        <v>6</v>
      </c>
      <c r="C5" s="12" t="s">
        <v>7</v>
      </c>
      <c r="D5" s="12" t="s">
        <v>8</v>
      </c>
      <c r="E5" s="12" t="s">
        <v>9</v>
      </c>
      <c r="F5" s="12" t="s">
        <v>10</v>
      </c>
      <c r="G5" s="12" t="s">
        <v>11</v>
      </c>
      <c r="H5" s="12" t="s">
        <v>12</v>
      </c>
      <c r="I5" s="12" t="s">
        <v>13</v>
      </c>
      <c r="J5" s="12" t="s">
        <v>14</v>
      </c>
      <c r="K5" s="12" t="s">
        <v>15</v>
      </c>
      <c r="L5" s="12" t="s">
        <v>16</v>
      </c>
      <c r="M5" s="12" t="s">
        <v>17</v>
      </c>
    </row>
    <row r="6" spans="1:13" x14ac:dyDescent="0.3">
      <c r="A6" s="17" t="str">
        <f>Inputs!A13</f>
        <v>2011</v>
      </c>
      <c r="B6" s="18">
        <f>Inputs!C13</f>
        <v>6014</v>
      </c>
      <c r="C6" s="18">
        <f>Inputs!C12</f>
        <v>5568</v>
      </c>
      <c r="D6" s="19">
        <f t="shared" ref="D6:D17" si="0">$C$3*B6+(1-$C$3)*C6</f>
        <v>5791</v>
      </c>
      <c r="E6" s="18">
        <f>Inputs!D13</f>
        <v>4087</v>
      </c>
      <c r="F6" s="19">
        <f t="shared" ref="F6:F17" si="1">E6*$E$3</f>
        <v>0</v>
      </c>
      <c r="G6" s="19">
        <f t="shared" ref="G6:G17" si="2">E6+F6</f>
        <v>4087</v>
      </c>
      <c r="H6" s="20">
        <f t="shared" ref="H6:H17" si="3">IF(D6=0,0,G6/D6)</f>
        <v>0.70575030219305823</v>
      </c>
      <c r="I6" s="21">
        <f t="shared" ref="I6:I18" si="4">IF(B6=0,0,G6/B6)</f>
        <v>0.67958097771865644</v>
      </c>
      <c r="J6" s="21">
        <f t="shared" ref="J6:J17" si="5">$G$3</f>
        <v>0.65</v>
      </c>
      <c r="K6" s="22">
        <f t="shared" ref="K6:K17" si="6">H6-J6</f>
        <v>5.575030219305821E-2</v>
      </c>
      <c r="L6" s="23" t="str">
        <f t="shared" ref="L6:L17" si="7">IF(H6&gt;J6,"Above target","Within target")</f>
        <v>Above target</v>
      </c>
      <c r="M6" s="22"/>
    </row>
    <row r="7" spans="1:13" x14ac:dyDescent="0.3">
      <c r="A7" s="17" t="str">
        <f>Inputs!A14</f>
        <v>2012</v>
      </c>
      <c r="B7" s="18">
        <f>Inputs!C14</f>
        <v>6136</v>
      </c>
      <c r="C7" s="18">
        <f>Inputs!C13</f>
        <v>6014</v>
      </c>
      <c r="D7" s="19">
        <f t="shared" si="0"/>
        <v>6075</v>
      </c>
      <c r="E7" s="18">
        <f>Inputs!D14</f>
        <v>3981</v>
      </c>
      <c r="F7" s="19">
        <f t="shared" si="1"/>
        <v>0</v>
      </c>
      <c r="G7" s="19">
        <f t="shared" si="2"/>
        <v>3981</v>
      </c>
      <c r="H7" s="20">
        <f t="shared" si="3"/>
        <v>0.65530864197530869</v>
      </c>
      <c r="I7" s="21">
        <f t="shared" si="4"/>
        <v>0.64879400260756193</v>
      </c>
      <c r="J7" s="21">
        <f t="shared" si="5"/>
        <v>0.65</v>
      </c>
      <c r="K7" s="22">
        <f t="shared" si="6"/>
        <v>5.30864197530867E-3</v>
      </c>
      <c r="L7" s="23" t="str">
        <f t="shared" si="7"/>
        <v>Above target</v>
      </c>
      <c r="M7" s="22">
        <f t="shared" ref="M7:M17" si="8">H7-H6</f>
        <v>-5.044166021774954E-2</v>
      </c>
    </row>
    <row r="8" spans="1:13" x14ac:dyDescent="0.3">
      <c r="A8" s="17" t="str">
        <f>Inputs!A15</f>
        <v>2013</v>
      </c>
      <c r="B8" s="18">
        <f>Inputs!C15</f>
        <v>6339</v>
      </c>
      <c r="C8" s="18">
        <f>Inputs!C14</f>
        <v>6136</v>
      </c>
      <c r="D8" s="19">
        <f t="shared" si="0"/>
        <v>6237.5</v>
      </c>
      <c r="E8" s="18">
        <f>Inputs!D15</f>
        <v>4699</v>
      </c>
      <c r="F8" s="19">
        <f t="shared" si="1"/>
        <v>0</v>
      </c>
      <c r="G8" s="19">
        <f t="shared" si="2"/>
        <v>4699</v>
      </c>
      <c r="H8" s="20">
        <f t="shared" si="3"/>
        <v>0.75334669338677351</v>
      </c>
      <c r="I8" s="21">
        <f t="shared" si="4"/>
        <v>0.74128411421359841</v>
      </c>
      <c r="J8" s="21">
        <f t="shared" si="5"/>
        <v>0.65</v>
      </c>
      <c r="K8" s="22">
        <f t="shared" si="6"/>
        <v>0.10334669338677349</v>
      </c>
      <c r="L8" s="23" t="str">
        <f t="shared" si="7"/>
        <v>Above target</v>
      </c>
      <c r="M8" s="22">
        <f t="shared" si="8"/>
        <v>9.8038051411464822E-2</v>
      </c>
    </row>
    <row r="9" spans="1:13" x14ac:dyDescent="0.3">
      <c r="A9" s="17" t="str">
        <f>Inputs!A16</f>
        <v>2014</v>
      </c>
      <c r="B9" s="18">
        <f>Inputs!C16</f>
        <v>6621</v>
      </c>
      <c r="C9" s="18">
        <f>Inputs!C15</f>
        <v>6339</v>
      </c>
      <c r="D9" s="19">
        <f t="shared" si="0"/>
        <v>6480</v>
      </c>
      <c r="E9" s="18">
        <f>Inputs!D16</f>
        <v>3955</v>
      </c>
      <c r="F9" s="19">
        <f t="shared" si="1"/>
        <v>0</v>
      </c>
      <c r="G9" s="19">
        <f t="shared" si="2"/>
        <v>3955</v>
      </c>
      <c r="H9" s="20">
        <f t="shared" si="3"/>
        <v>0.6103395061728395</v>
      </c>
      <c r="I9" s="21">
        <f t="shared" si="4"/>
        <v>0.59734179127020093</v>
      </c>
      <c r="J9" s="21">
        <f t="shared" si="5"/>
        <v>0.65</v>
      </c>
      <c r="K9" s="22">
        <f t="shared" si="6"/>
        <v>-3.9660493827160526E-2</v>
      </c>
      <c r="L9" s="23" t="str">
        <f t="shared" si="7"/>
        <v>Within target</v>
      </c>
      <c r="M9" s="22">
        <f t="shared" si="8"/>
        <v>-0.14300718721393402</v>
      </c>
    </row>
    <row r="10" spans="1:13" x14ac:dyDescent="0.3">
      <c r="A10" s="17" t="str">
        <f>Inputs!A17</f>
        <v>2015</v>
      </c>
      <c r="B10" s="18">
        <f>Inputs!C17</f>
        <v>6656</v>
      </c>
      <c r="C10" s="18">
        <f>Inputs!C16</f>
        <v>6621</v>
      </c>
      <c r="D10" s="19">
        <f t="shared" si="0"/>
        <v>6638.5</v>
      </c>
      <c r="E10" s="18">
        <f>Inputs!D17</f>
        <v>3797</v>
      </c>
      <c r="F10" s="19">
        <f t="shared" si="1"/>
        <v>0</v>
      </c>
      <c r="G10" s="19">
        <f t="shared" si="2"/>
        <v>3797</v>
      </c>
      <c r="H10" s="20">
        <f t="shared" si="3"/>
        <v>0.57196655871055213</v>
      </c>
      <c r="I10" s="21">
        <f t="shared" si="4"/>
        <v>0.57046274038461542</v>
      </c>
      <c r="J10" s="21">
        <f t="shared" si="5"/>
        <v>0.65</v>
      </c>
      <c r="K10" s="22">
        <f t="shared" si="6"/>
        <v>-7.8033441289447891E-2</v>
      </c>
      <c r="L10" s="23" t="str">
        <f t="shared" si="7"/>
        <v>Within target</v>
      </c>
      <c r="M10" s="22">
        <f t="shared" si="8"/>
        <v>-3.8372947462287366E-2</v>
      </c>
    </row>
    <row r="11" spans="1:13" x14ac:dyDescent="0.3">
      <c r="A11" s="17" t="str">
        <f>Inputs!A18</f>
        <v>2016</v>
      </c>
      <c r="B11" s="18">
        <f>Inputs!C18</f>
        <v>6704</v>
      </c>
      <c r="C11" s="18">
        <f>Inputs!C17</f>
        <v>6656</v>
      </c>
      <c r="D11" s="19">
        <f t="shared" si="0"/>
        <v>6680</v>
      </c>
      <c r="E11" s="18">
        <f>Inputs!D18</f>
        <v>5494</v>
      </c>
      <c r="F11" s="19">
        <f t="shared" si="1"/>
        <v>0</v>
      </c>
      <c r="G11" s="19">
        <f t="shared" si="2"/>
        <v>5494</v>
      </c>
      <c r="H11" s="20">
        <f t="shared" si="3"/>
        <v>0.82245508982035931</v>
      </c>
      <c r="I11" s="21">
        <f t="shared" si="4"/>
        <v>0.8195107398568019</v>
      </c>
      <c r="J11" s="21">
        <f t="shared" si="5"/>
        <v>0.65</v>
      </c>
      <c r="K11" s="22">
        <f t="shared" si="6"/>
        <v>0.17245508982035929</v>
      </c>
      <c r="L11" s="23" t="str">
        <f t="shared" si="7"/>
        <v>Above target</v>
      </c>
      <c r="M11" s="22">
        <f t="shared" si="8"/>
        <v>0.25048853110980718</v>
      </c>
    </row>
    <row r="12" spans="1:13" x14ac:dyDescent="0.3">
      <c r="A12" s="17" t="str">
        <f>Inputs!A19</f>
        <v>2017</v>
      </c>
      <c r="B12" s="18">
        <f>Inputs!C19</f>
        <v>6941</v>
      </c>
      <c r="C12" s="18">
        <f>Inputs!C18</f>
        <v>6704</v>
      </c>
      <c r="D12" s="19">
        <f t="shared" si="0"/>
        <v>6822.5</v>
      </c>
      <c r="E12" s="18">
        <f>Inputs!D19</f>
        <v>4280</v>
      </c>
      <c r="F12" s="19">
        <f t="shared" si="1"/>
        <v>0</v>
      </c>
      <c r="G12" s="19">
        <f t="shared" si="2"/>
        <v>4280</v>
      </c>
      <c r="H12" s="20">
        <f t="shared" si="3"/>
        <v>0.6273360205203371</v>
      </c>
      <c r="I12" s="21">
        <f t="shared" si="4"/>
        <v>0.61662584641982421</v>
      </c>
      <c r="J12" s="21">
        <f t="shared" si="5"/>
        <v>0.65</v>
      </c>
      <c r="K12" s="22">
        <f t="shared" si="6"/>
        <v>-2.2663979479662921E-2</v>
      </c>
      <c r="L12" s="23" t="str">
        <f t="shared" si="7"/>
        <v>Within target</v>
      </c>
      <c r="M12" s="22">
        <f t="shared" si="8"/>
        <v>-0.19511906930002221</v>
      </c>
    </row>
    <row r="13" spans="1:13" x14ac:dyDescent="0.3">
      <c r="A13" s="17" t="str">
        <f>Inputs!A20</f>
        <v>2018</v>
      </c>
      <c r="B13" s="18">
        <f>Inputs!C20</f>
        <v>7638</v>
      </c>
      <c r="C13" s="18">
        <f>Inputs!C19</f>
        <v>6941</v>
      </c>
      <c r="D13" s="19">
        <f t="shared" si="0"/>
        <v>7289.5</v>
      </c>
      <c r="E13" s="18">
        <f>Inputs!D20</f>
        <v>5471</v>
      </c>
      <c r="F13" s="19">
        <f t="shared" si="1"/>
        <v>0</v>
      </c>
      <c r="G13" s="19">
        <f t="shared" si="2"/>
        <v>5471</v>
      </c>
      <c r="H13" s="20">
        <f t="shared" si="3"/>
        <v>0.75053158652856844</v>
      </c>
      <c r="I13" s="21">
        <f t="shared" si="4"/>
        <v>0.71628698612202146</v>
      </c>
      <c r="J13" s="21">
        <f t="shared" si="5"/>
        <v>0.65</v>
      </c>
      <c r="K13" s="22">
        <f t="shared" si="6"/>
        <v>0.10053158652856842</v>
      </c>
      <c r="L13" s="23" t="str">
        <f t="shared" si="7"/>
        <v>Above target</v>
      </c>
      <c r="M13" s="22">
        <f t="shared" si="8"/>
        <v>0.12319556600823134</v>
      </c>
    </row>
    <row r="14" spans="1:13" x14ac:dyDescent="0.3">
      <c r="A14" s="17" t="str">
        <f>Inputs!A21</f>
        <v>2019</v>
      </c>
      <c r="B14" s="18">
        <f>Inputs!C21</f>
        <v>8111</v>
      </c>
      <c r="C14" s="18">
        <f>Inputs!C20</f>
        <v>7638</v>
      </c>
      <c r="D14" s="19">
        <f t="shared" si="0"/>
        <v>7874.5</v>
      </c>
      <c r="E14" s="18">
        <f>Inputs!D21</f>
        <v>5015</v>
      </c>
      <c r="F14" s="19">
        <f t="shared" si="1"/>
        <v>0</v>
      </c>
      <c r="G14" s="19">
        <f t="shared" si="2"/>
        <v>5015</v>
      </c>
      <c r="H14" s="20">
        <f t="shared" si="3"/>
        <v>0.63686583275128583</v>
      </c>
      <c r="I14" s="21">
        <f t="shared" si="4"/>
        <v>0.61829614104302799</v>
      </c>
      <c r="J14" s="21">
        <f t="shared" si="5"/>
        <v>0.65</v>
      </c>
      <c r="K14" s="22">
        <f t="shared" si="6"/>
        <v>-1.313416724871419E-2</v>
      </c>
      <c r="L14" s="23" t="str">
        <f t="shared" si="7"/>
        <v>Within target</v>
      </c>
      <c r="M14" s="22">
        <f t="shared" si="8"/>
        <v>-0.11366575377728261</v>
      </c>
    </row>
    <row r="15" spans="1:13" x14ac:dyDescent="0.3">
      <c r="A15" s="17" t="str">
        <f>Inputs!A22</f>
        <v>2020</v>
      </c>
      <c r="B15" s="18">
        <f>Inputs!C22</f>
        <v>9654</v>
      </c>
      <c r="C15" s="18">
        <f>Inputs!C21</f>
        <v>8111</v>
      </c>
      <c r="D15" s="19">
        <f t="shared" si="0"/>
        <v>8882.5</v>
      </c>
      <c r="E15" s="18">
        <f>Inputs!D22</f>
        <v>5525</v>
      </c>
      <c r="F15" s="19">
        <f t="shared" si="1"/>
        <v>0</v>
      </c>
      <c r="G15" s="19">
        <f t="shared" si="2"/>
        <v>5525</v>
      </c>
      <c r="H15" s="20">
        <f t="shared" si="3"/>
        <v>0.62200956937799046</v>
      </c>
      <c r="I15" s="21">
        <f t="shared" si="4"/>
        <v>0.57230163662730471</v>
      </c>
      <c r="J15" s="21">
        <f t="shared" si="5"/>
        <v>0.65</v>
      </c>
      <c r="K15" s="22">
        <f t="shared" si="6"/>
        <v>-2.7990430622009566E-2</v>
      </c>
      <c r="L15" s="23" t="str">
        <f t="shared" si="7"/>
        <v>Within target</v>
      </c>
      <c r="M15" s="22">
        <f t="shared" si="8"/>
        <v>-1.4856263373295375E-2</v>
      </c>
    </row>
    <row r="16" spans="1:13" x14ac:dyDescent="0.3">
      <c r="A16" s="17" t="str">
        <f>Inputs!A23</f>
        <v>2021</v>
      </c>
      <c r="B16" s="18">
        <f>Inputs!C23</f>
        <v>10982</v>
      </c>
      <c r="C16" s="18">
        <f>Inputs!C22</f>
        <v>9654</v>
      </c>
      <c r="D16" s="19">
        <f t="shared" si="0"/>
        <v>10318</v>
      </c>
      <c r="E16" s="18">
        <f>Inputs!D23</f>
        <v>4673</v>
      </c>
      <c r="F16" s="19">
        <f t="shared" si="1"/>
        <v>0</v>
      </c>
      <c r="G16" s="19">
        <f t="shared" si="2"/>
        <v>4673</v>
      </c>
      <c r="H16" s="20">
        <f t="shared" si="3"/>
        <v>0.4528978484202365</v>
      </c>
      <c r="I16" s="21">
        <f t="shared" si="4"/>
        <v>0.4255144782371153</v>
      </c>
      <c r="J16" s="21">
        <f t="shared" si="5"/>
        <v>0.65</v>
      </c>
      <c r="K16" s="22">
        <f t="shared" si="6"/>
        <v>-0.19710215157976352</v>
      </c>
      <c r="L16" s="23" t="str">
        <f t="shared" si="7"/>
        <v>Within target</v>
      </c>
      <c r="M16" s="22">
        <f t="shared" si="8"/>
        <v>-0.16911172095775395</v>
      </c>
    </row>
    <row r="17" spans="1:13" x14ac:dyDescent="0.3">
      <c r="A17" s="17" t="str">
        <f>Inputs!A24</f>
        <v>2022</v>
      </c>
      <c r="B17" s="18">
        <f>Inputs!C24</f>
        <v>11892</v>
      </c>
      <c r="C17" s="18">
        <f>Inputs!C23</f>
        <v>10982</v>
      </c>
      <c r="D17" s="19">
        <f t="shared" si="0"/>
        <v>11437</v>
      </c>
      <c r="E17" s="18">
        <f>Inputs!D24</f>
        <v>5716</v>
      </c>
      <c r="F17" s="19">
        <f t="shared" si="1"/>
        <v>0</v>
      </c>
      <c r="G17" s="19">
        <f t="shared" si="2"/>
        <v>5716</v>
      </c>
      <c r="H17" s="20">
        <f t="shared" si="3"/>
        <v>0.4997814112092332</v>
      </c>
      <c r="I17" s="21">
        <f t="shared" si="4"/>
        <v>0.48065926673393877</v>
      </c>
      <c r="J17" s="21">
        <f t="shared" si="5"/>
        <v>0.65</v>
      </c>
      <c r="K17" s="22">
        <f t="shared" si="6"/>
        <v>-0.15021858879076683</v>
      </c>
      <c r="L17" s="23" t="str">
        <f t="shared" si="7"/>
        <v>Within target</v>
      </c>
      <c r="M17" s="22">
        <f t="shared" si="8"/>
        <v>4.6883562788996691E-2</v>
      </c>
    </row>
    <row r="18" spans="1:13" x14ac:dyDescent="0.3">
      <c r="A18" s="24" t="s">
        <v>18</v>
      </c>
      <c r="B18" s="25">
        <f t="shared" ref="B18:G18" si="9">SUM(B6:B17)</f>
        <v>93688</v>
      </c>
      <c r="C18" s="25">
        <f t="shared" si="9"/>
        <v>87364</v>
      </c>
      <c r="D18" s="25">
        <f t="shared" si="9"/>
        <v>90526</v>
      </c>
      <c r="E18" s="25">
        <f t="shared" si="9"/>
        <v>56693</v>
      </c>
      <c r="F18" s="25">
        <f t="shared" si="9"/>
        <v>0</v>
      </c>
      <c r="G18" s="25">
        <f t="shared" si="9"/>
        <v>56693</v>
      </c>
      <c r="H18" s="26">
        <f>IF(D18=0,0,G18/D18)</f>
        <v>0.62626206835605236</v>
      </c>
      <c r="I18" s="26">
        <f t="shared" si="4"/>
        <v>0.60512552301255229</v>
      </c>
      <c r="J18" s="27"/>
      <c r="K18" s="27"/>
      <c r="L18" s="27"/>
      <c r="M18" s="27"/>
    </row>
    <row r="19" spans="1:13" x14ac:dyDescent="0.3">
      <c r="A19" s="1"/>
      <c r="B19" s="1"/>
      <c r="C19" s="1"/>
      <c r="D19" s="1"/>
      <c r="E19" s="1"/>
      <c r="F19" s="1"/>
      <c r="G19" s="1"/>
      <c r="H19" s="1"/>
      <c r="I19" s="1"/>
      <c r="J19" s="1"/>
      <c r="K19" s="1"/>
      <c r="L19" s="1"/>
      <c r="M19" s="1"/>
    </row>
    <row r="20" spans="1:13" x14ac:dyDescent="0.3">
      <c r="A20" s="6" t="s">
        <v>19</v>
      </c>
      <c r="B20" s="1"/>
      <c r="C20" s="1"/>
      <c r="D20" s="1"/>
      <c r="E20" s="1"/>
      <c r="F20" s="1"/>
      <c r="G20" s="1"/>
      <c r="H20" s="1"/>
      <c r="I20" s="1"/>
      <c r="J20" s="1"/>
      <c r="K20" s="1"/>
      <c r="L20" s="1"/>
      <c r="M20" s="1"/>
    </row>
    <row r="21" spans="1:13" x14ac:dyDescent="0.3">
      <c r="A21" s="73" t="s">
        <v>20</v>
      </c>
      <c r="B21" s="72"/>
      <c r="C21" s="72"/>
      <c r="D21" s="72"/>
      <c r="E21" s="72"/>
      <c r="F21" s="28">
        <f>H18</f>
        <v>0.62626206835605236</v>
      </c>
      <c r="G21" s="1"/>
      <c r="H21" s="1"/>
      <c r="I21" s="1"/>
      <c r="J21" s="1"/>
      <c r="K21" s="1"/>
      <c r="L21" s="1"/>
      <c r="M21" s="1"/>
    </row>
    <row r="22" spans="1:13" x14ac:dyDescent="0.3">
      <c r="A22" s="73" t="s">
        <v>21</v>
      </c>
      <c r="B22" s="72"/>
      <c r="C22" s="72"/>
      <c r="D22" s="72"/>
      <c r="E22" s="72"/>
      <c r="F22" s="28">
        <f>AVERAGE(H6:H17)</f>
        <v>0.64238242175554527</v>
      </c>
      <c r="G22" s="1"/>
      <c r="H22" s="1"/>
      <c r="I22" s="1"/>
      <c r="J22" s="1"/>
      <c r="K22" s="1"/>
      <c r="L22" s="1"/>
      <c r="M22" s="1"/>
    </row>
    <row r="23" spans="1:13" x14ac:dyDescent="0.3">
      <c r="A23" s="73" t="s">
        <v>22</v>
      </c>
      <c r="B23" s="72"/>
      <c r="C23" s="72"/>
      <c r="D23" s="72"/>
      <c r="E23" s="72"/>
      <c r="F23" s="28">
        <f>SUM(G15:G17)/SUM(D15:D17)</f>
        <v>0.51942880456956342</v>
      </c>
      <c r="G23" s="1"/>
      <c r="H23" s="1"/>
      <c r="I23" s="1"/>
      <c r="J23" s="1"/>
      <c r="K23" s="1"/>
      <c r="L23" s="1"/>
      <c r="M23" s="1"/>
    </row>
    <row r="24" spans="1:13" x14ac:dyDescent="0.3">
      <c r="A24" s="73" t="s">
        <v>23</v>
      </c>
      <c r="B24" s="72"/>
      <c r="C24" s="72"/>
      <c r="D24" s="72"/>
      <c r="E24" s="72"/>
      <c r="F24" s="28">
        <f>SUM(G13:G17)/SUM(D13:D17)</f>
        <v>0.57640033623352949</v>
      </c>
      <c r="G24" s="1"/>
      <c r="H24" s="1"/>
      <c r="I24" s="1"/>
      <c r="J24" s="1"/>
      <c r="K24" s="1"/>
      <c r="L24" s="1"/>
      <c r="M24" s="1"/>
    </row>
    <row r="25" spans="1:13" x14ac:dyDescent="0.3">
      <c r="A25" s="73" t="s">
        <v>24</v>
      </c>
      <c r="B25" s="72"/>
      <c r="C25" s="72"/>
      <c r="D25" s="72"/>
      <c r="E25" s="72"/>
      <c r="F25" s="28">
        <f>STDEV(H6:H17)</f>
        <v>0.10596505712678873</v>
      </c>
      <c r="G25" s="1"/>
      <c r="H25" s="1"/>
      <c r="I25" s="1"/>
      <c r="J25" s="1"/>
      <c r="K25" s="1"/>
      <c r="L25" s="1"/>
      <c r="M25" s="1"/>
    </row>
    <row r="26" spans="1:13" x14ac:dyDescent="0.3">
      <c r="A26" s="73" t="s">
        <v>25</v>
      </c>
      <c r="B26" s="72"/>
      <c r="C26" s="72"/>
      <c r="D26" s="72"/>
      <c r="E26" s="72"/>
      <c r="F26" s="28">
        <f>MAX(H6:H17)</f>
        <v>0.82245508982035931</v>
      </c>
      <c r="G26" s="1"/>
      <c r="H26" s="1"/>
      <c r="I26" s="1"/>
      <c r="J26" s="1"/>
      <c r="K26" s="1"/>
      <c r="L26" s="1"/>
      <c r="M26" s="1"/>
    </row>
    <row r="27" spans="1:13" x14ac:dyDescent="0.3">
      <c r="A27" s="73" t="s">
        <v>26</v>
      </c>
      <c r="B27" s="72"/>
      <c r="C27" s="72"/>
      <c r="D27" s="72"/>
      <c r="E27" s="72"/>
      <c r="F27" s="29" t="str">
        <f>INDEX(A6:A17,MATCH(MAX(H6:H17),H6:H17,0))</f>
        <v>2016</v>
      </c>
      <c r="G27" s="1"/>
      <c r="H27" s="1"/>
      <c r="I27" s="1"/>
      <c r="J27" s="1"/>
      <c r="K27" s="1"/>
      <c r="L27" s="1"/>
      <c r="M27" s="1"/>
    </row>
    <row r="28" spans="1:13" x14ac:dyDescent="0.3">
      <c r="A28" s="73" t="s">
        <v>27</v>
      </c>
      <c r="B28" s="72"/>
      <c r="C28" s="72"/>
      <c r="D28" s="72"/>
      <c r="E28" s="72"/>
      <c r="F28" s="28">
        <f>MIN(H6:H17)</f>
        <v>0.4528978484202365</v>
      </c>
      <c r="G28" s="1"/>
      <c r="H28" s="1"/>
      <c r="I28" s="1"/>
      <c r="J28" s="1"/>
      <c r="K28" s="1"/>
      <c r="L28" s="1"/>
      <c r="M28" s="1"/>
    </row>
    <row r="29" spans="1:13" x14ac:dyDescent="0.3">
      <c r="A29" s="73" t="s">
        <v>28</v>
      </c>
      <c r="B29" s="72"/>
      <c r="C29" s="72"/>
      <c r="D29" s="72"/>
      <c r="E29" s="72"/>
      <c r="F29" s="29" t="str">
        <f>INDEX(A6:A17,MATCH(MIN(H6:H17),H6:H17,0))</f>
        <v>2021</v>
      </c>
      <c r="G29" s="1"/>
      <c r="H29" s="1"/>
      <c r="I29" s="1"/>
      <c r="J29" s="1"/>
      <c r="K29" s="1"/>
      <c r="L29" s="1"/>
      <c r="M29" s="1"/>
    </row>
    <row r="30" spans="1:13" x14ac:dyDescent="0.3">
      <c r="A30" s="73" t="s">
        <v>29</v>
      </c>
      <c r="B30" s="72"/>
      <c r="C30" s="72"/>
      <c r="D30" s="72"/>
      <c r="E30" s="72"/>
      <c r="F30" s="30">
        <f>COUNTIF(L6:L17,"Above target")</f>
        <v>5</v>
      </c>
      <c r="G30" s="1"/>
      <c r="H30" s="1"/>
      <c r="I30" s="1"/>
      <c r="J30" s="1"/>
      <c r="K30" s="1"/>
      <c r="L30" s="1"/>
      <c r="M30" s="1"/>
    </row>
    <row r="31" spans="1:13" x14ac:dyDescent="0.3">
      <c r="A31" s="73" t="s">
        <v>30</v>
      </c>
      <c r="B31" s="72"/>
      <c r="C31" s="72"/>
      <c r="D31" s="72"/>
      <c r="E31" s="72"/>
      <c r="F31" s="28">
        <f>(D17/D6)^(1/(ROWS(D6:D17)-1))-1</f>
        <v>6.3821981136614969E-2</v>
      </c>
      <c r="G31" s="1"/>
      <c r="H31" s="1"/>
      <c r="I31" s="1"/>
      <c r="J31" s="1"/>
      <c r="K31" s="1"/>
      <c r="L31" s="1"/>
      <c r="M31" s="1"/>
    </row>
    <row r="32" spans="1:13" x14ac:dyDescent="0.3">
      <c r="A32" s="73" t="s">
        <v>31</v>
      </c>
      <c r="B32" s="72"/>
      <c r="C32" s="72"/>
      <c r="D32" s="72"/>
      <c r="E32" s="72"/>
      <c r="F32" s="28">
        <f>(G17/G6)^(1/(ROWS(G6:G17)-1))-1</f>
        <v>3.0965958826137507E-2</v>
      </c>
      <c r="G32" s="1"/>
      <c r="H32" s="1"/>
      <c r="I32" s="1"/>
      <c r="J32" s="1"/>
      <c r="K32" s="1"/>
      <c r="L32" s="1"/>
      <c r="M32" s="1"/>
    </row>
  </sheetData>
  <mergeCells count="12">
    <mergeCell ref="A32:E32"/>
    <mergeCell ref="A31:E31"/>
    <mergeCell ref="A22:E22"/>
    <mergeCell ref="A27:E27"/>
    <mergeCell ref="A21:E21"/>
    <mergeCell ref="A30:E30"/>
    <mergeCell ref="A29:E29"/>
    <mergeCell ref="A26:E26"/>
    <mergeCell ref="A24:E24"/>
    <mergeCell ref="A25:E25"/>
    <mergeCell ref="A28:E28"/>
    <mergeCell ref="A23:E23"/>
  </mergeCells>
  <conditionalFormatting sqref="L6:L17">
    <cfRule type="cellIs" dxfId="1" priority="1" operator="equal">
      <formula>"Above target"</formula>
    </cfRule>
    <cfRule type="cellIs" dxfId="0" priority="2" operator="equal">
      <formula>"Within target"</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H17"/>
  <sheetViews>
    <sheetView showGridLines="0" workbookViewId="0">
      <selection activeCell="B8" sqref="B8"/>
    </sheetView>
  </sheetViews>
  <sheetFormatPr defaultRowHeight="14.4" x14ac:dyDescent="0.3"/>
  <cols>
    <col min="1" max="1" width="36" customWidth="1"/>
    <col min="2" max="8" width="14" customWidth="1"/>
  </cols>
  <sheetData>
    <row r="1" spans="1:8" ht="17.399999999999999" x14ac:dyDescent="0.3">
      <c r="A1" s="2" t="s">
        <v>88</v>
      </c>
      <c r="B1" s="1"/>
      <c r="C1" s="1"/>
      <c r="D1" s="1"/>
      <c r="E1" s="1"/>
      <c r="F1" s="1"/>
      <c r="G1" s="1"/>
      <c r="H1" s="1"/>
    </row>
    <row r="2" spans="1:8" x14ac:dyDescent="0.3">
      <c r="A2" s="3" t="s">
        <v>89</v>
      </c>
      <c r="B2" s="1"/>
      <c r="C2" s="1"/>
      <c r="D2" s="1"/>
      <c r="E2" s="1"/>
      <c r="F2" s="1"/>
      <c r="G2" s="1"/>
      <c r="H2" s="1"/>
    </row>
    <row r="3" spans="1:8" x14ac:dyDescent="0.3">
      <c r="A3" s="1"/>
      <c r="B3" s="1"/>
      <c r="C3" s="1"/>
      <c r="D3" s="1"/>
      <c r="E3" s="1"/>
      <c r="F3" s="1"/>
      <c r="G3" s="1"/>
      <c r="H3" s="1"/>
    </row>
    <row r="4" spans="1:8" ht="31.95" customHeight="1" x14ac:dyDescent="0.3">
      <c r="A4" s="12" t="s">
        <v>35</v>
      </c>
      <c r="B4" s="12" t="s">
        <v>90</v>
      </c>
      <c r="C4" s="12" t="s">
        <v>91</v>
      </c>
      <c r="D4" s="12" t="s">
        <v>92</v>
      </c>
      <c r="E4" s="12" t="s">
        <v>93</v>
      </c>
      <c r="F4" s="12" t="s">
        <v>94</v>
      </c>
      <c r="G4" s="12" t="s">
        <v>95</v>
      </c>
      <c r="H4" s="12" t="s">
        <v>96</v>
      </c>
    </row>
    <row r="5" spans="1:8" x14ac:dyDescent="0.3">
      <c r="A5" s="16" t="s">
        <v>97</v>
      </c>
      <c r="B5" s="15">
        <v>31357</v>
      </c>
      <c r="C5" s="15">
        <v>19349</v>
      </c>
      <c r="D5" s="31">
        <f t="shared" ref="D5:D13" si="0">IF(B5=0,0,C5/B5)</f>
        <v>0.6170552029849794</v>
      </c>
      <c r="E5" s="15">
        <v>26526</v>
      </c>
      <c r="F5" s="15">
        <v>16323</v>
      </c>
      <c r="G5" s="31">
        <f t="shared" ref="G5:G13" si="1">IF(E5=0,0,F5/E5)</f>
        <v>0.61535851617281156</v>
      </c>
      <c r="H5" s="32">
        <f t="shared" ref="H5:H13" si="2">G5-D5</f>
        <v>-1.6966868121678358E-3</v>
      </c>
    </row>
    <row r="6" spans="1:8" x14ac:dyDescent="0.3">
      <c r="A6" s="16" t="s">
        <v>98</v>
      </c>
      <c r="B6" s="15">
        <v>25263</v>
      </c>
      <c r="C6" s="15">
        <v>16216</v>
      </c>
      <c r="D6" s="31">
        <f t="shared" si="0"/>
        <v>0.64188734512924039</v>
      </c>
      <c r="E6" s="15">
        <v>21535</v>
      </c>
      <c r="F6" s="15">
        <v>13729</v>
      </c>
      <c r="G6" s="31">
        <f t="shared" si="1"/>
        <v>0.63752031576503365</v>
      </c>
      <c r="H6" s="32">
        <f t="shared" si="2"/>
        <v>-4.3670293642067426E-3</v>
      </c>
    </row>
    <row r="7" spans="1:8" x14ac:dyDescent="0.3">
      <c r="A7" s="16" t="s">
        <v>99</v>
      </c>
      <c r="B7" s="15">
        <v>17378</v>
      </c>
      <c r="C7" s="15">
        <v>9868</v>
      </c>
      <c r="D7" s="31">
        <f t="shared" si="0"/>
        <v>0.5678444009667396</v>
      </c>
      <c r="E7" s="15">
        <v>14836</v>
      </c>
      <c r="F7" s="15">
        <v>8479</v>
      </c>
      <c r="G7" s="31">
        <f t="shared" si="1"/>
        <v>0.57151523321650044</v>
      </c>
      <c r="H7" s="32">
        <f t="shared" si="2"/>
        <v>3.6708322497608359E-3</v>
      </c>
    </row>
    <row r="8" spans="1:8" x14ac:dyDescent="0.3">
      <c r="A8" s="33" t="s">
        <v>100</v>
      </c>
      <c r="B8" s="34">
        <v>15046</v>
      </c>
      <c r="C8" s="34">
        <v>6625</v>
      </c>
      <c r="D8" s="35">
        <f t="shared" si="0"/>
        <v>0.44031636315299749</v>
      </c>
      <c r="E8" s="34">
        <v>11892</v>
      </c>
      <c r="F8" s="34">
        <v>5716</v>
      </c>
      <c r="G8" s="35">
        <f t="shared" si="1"/>
        <v>0.48065926673393877</v>
      </c>
      <c r="H8" s="36">
        <f t="shared" si="2"/>
        <v>4.0342903580941281E-2</v>
      </c>
    </row>
    <row r="9" spans="1:8" x14ac:dyDescent="0.3">
      <c r="A9" s="16" t="s">
        <v>101</v>
      </c>
      <c r="B9" s="15">
        <v>11531</v>
      </c>
      <c r="C9" s="15">
        <v>3856</v>
      </c>
      <c r="D9" s="31">
        <f t="shared" si="0"/>
        <v>0.33440291388431187</v>
      </c>
      <c r="E9" s="15">
        <v>8344</v>
      </c>
      <c r="F9" s="15">
        <v>2644</v>
      </c>
      <c r="G9" s="31">
        <f t="shared" si="1"/>
        <v>0.31687440076701823</v>
      </c>
      <c r="H9" s="32">
        <f t="shared" si="2"/>
        <v>-1.7528513117293643E-2</v>
      </c>
    </row>
    <row r="10" spans="1:8" x14ac:dyDescent="0.3">
      <c r="A10" s="16" t="s">
        <v>102</v>
      </c>
      <c r="B10" s="15">
        <v>6031</v>
      </c>
      <c r="C10" s="15">
        <v>1296</v>
      </c>
      <c r="D10" s="31">
        <f t="shared" si="0"/>
        <v>0.21488973636212899</v>
      </c>
      <c r="E10" s="15">
        <v>5056</v>
      </c>
      <c r="F10" s="15">
        <v>1072</v>
      </c>
      <c r="G10" s="31">
        <f t="shared" si="1"/>
        <v>0.21202531645569619</v>
      </c>
      <c r="H10" s="32">
        <f t="shared" si="2"/>
        <v>-2.8644199064327969E-3</v>
      </c>
    </row>
    <row r="11" spans="1:8" x14ac:dyDescent="0.3">
      <c r="A11" s="16" t="s">
        <v>103</v>
      </c>
      <c r="B11" s="15">
        <v>1866</v>
      </c>
      <c r="C11" s="15">
        <v>953</v>
      </c>
      <c r="D11" s="31">
        <f t="shared" si="0"/>
        <v>0.51071811361200425</v>
      </c>
      <c r="E11" s="15">
        <v>1466</v>
      </c>
      <c r="F11" s="15">
        <v>879</v>
      </c>
      <c r="G11" s="31">
        <f t="shared" si="1"/>
        <v>0.59959072305593453</v>
      </c>
      <c r="H11" s="32">
        <f t="shared" si="2"/>
        <v>8.8872609443930273E-2</v>
      </c>
    </row>
    <row r="12" spans="1:8" x14ac:dyDescent="0.3">
      <c r="A12" s="37" t="s">
        <v>104</v>
      </c>
      <c r="B12" s="38">
        <f>B5-B6</f>
        <v>6094</v>
      </c>
      <c r="C12" s="38">
        <f>C5-C6</f>
        <v>3133</v>
      </c>
      <c r="D12" s="39">
        <f t="shared" si="0"/>
        <v>0.51411224154906465</v>
      </c>
      <c r="E12" s="38">
        <f>E5-E6</f>
        <v>4991</v>
      </c>
      <c r="F12" s="38">
        <f>F5-F6</f>
        <v>2594</v>
      </c>
      <c r="G12" s="39">
        <f t="shared" si="1"/>
        <v>0.51973552394309752</v>
      </c>
      <c r="H12" s="40">
        <f t="shared" si="2"/>
        <v>5.6232823940328691E-3</v>
      </c>
    </row>
    <row r="13" spans="1:8" x14ac:dyDescent="0.3">
      <c r="A13" s="41" t="s">
        <v>105</v>
      </c>
      <c r="B13" s="42">
        <v>83209</v>
      </c>
      <c r="C13" s="42">
        <v>41946</v>
      </c>
      <c r="D13" s="43">
        <f t="shared" si="0"/>
        <v>0.50410412335204124</v>
      </c>
      <c r="E13" s="42">
        <v>68118</v>
      </c>
      <c r="F13" s="42">
        <v>35112</v>
      </c>
      <c r="G13" s="43">
        <f t="shared" si="1"/>
        <v>0.51545846912710291</v>
      </c>
      <c r="H13" s="44">
        <f t="shared" si="2"/>
        <v>1.1354345775061669E-2</v>
      </c>
    </row>
    <row r="14" spans="1:8" x14ac:dyDescent="0.3">
      <c r="A14" s="3" t="s">
        <v>106</v>
      </c>
      <c r="B14" s="45">
        <f>SUM(B5,B7:B11)-B13</f>
        <v>0</v>
      </c>
      <c r="C14" s="45">
        <f>SUM(C5,C7:C11)-C13</f>
        <v>1</v>
      </c>
      <c r="D14" s="1"/>
      <c r="E14" s="45">
        <f>SUM(E5,E7:E11)-E13</f>
        <v>2</v>
      </c>
      <c r="F14" s="45">
        <f>SUM(F5,F7:F11)-F13</f>
        <v>1</v>
      </c>
      <c r="G14" s="1"/>
      <c r="H14" s="1"/>
    </row>
    <row r="15" spans="1:8" x14ac:dyDescent="0.3">
      <c r="A15" s="3" t="s">
        <v>107</v>
      </c>
      <c r="B15" s="1"/>
      <c r="C15" s="1"/>
      <c r="D15" s="1"/>
      <c r="E15" s="1"/>
      <c r="F15" s="1"/>
      <c r="G15" s="1"/>
      <c r="H15" s="1"/>
    </row>
    <row r="16" spans="1:8" x14ac:dyDescent="0.3">
      <c r="A16" s="1"/>
      <c r="B16" s="1"/>
      <c r="C16" s="1"/>
      <c r="D16" s="1"/>
      <c r="E16" s="1"/>
      <c r="F16" s="1"/>
      <c r="G16" s="1"/>
      <c r="H16" s="1"/>
    </row>
    <row r="17" spans="1:8" x14ac:dyDescent="0.3">
      <c r="A17" s="3" t="s">
        <v>38</v>
      </c>
      <c r="B17" s="1"/>
      <c r="C17" s="1"/>
      <c r="D17" s="1"/>
      <c r="E17" s="1"/>
      <c r="F17" s="1"/>
      <c r="G17" s="1"/>
      <c r="H17" s="1"/>
    </row>
  </sheetData>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F12"/>
  <sheetViews>
    <sheetView showGridLines="0" workbookViewId="0">
      <selection activeCell="F17" sqref="F17"/>
    </sheetView>
  </sheetViews>
  <sheetFormatPr defaultRowHeight="14.4" x14ac:dyDescent="0.3"/>
  <cols>
    <col min="1" max="1" width="9" customWidth="1"/>
    <col min="2" max="3" width="16" customWidth="1"/>
    <col min="4" max="4" width="14" customWidth="1"/>
    <col min="5" max="5" width="50" customWidth="1"/>
    <col min="6" max="6" width="60" customWidth="1"/>
  </cols>
  <sheetData>
    <row r="1" spans="1:6" ht="17.399999999999999" x14ac:dyDescent="0.3">
      <c r="A1" s="2" t="s">
        <v>108</v>
      </c>
      <c r="B1" s="1"/>
      <c r="C1" s="1"/>
      <c r="D1" s="1"/>
      <c r="E1" s="1"/>
      <c r="F1" s="1"/>
    </row>
    <row r="2" spans="1:6" x14ac:dyDescent="0.3">
      <c r="A2" s="3" t="s">
        <v>109</v>
      </c>
      <c r="B2" s="1"/>
      <c r="C2" s="1"/>
      <c r="D2" s="1"/>
      <c r="E2" s="1"/>
      <c r="F2" s="1"/>
    </row>
    <row r="3" spans="1:6" x14ac:dyDescent="0.3">
      <c r="A3" s="1"/>
      <c r="B3" s="1"/>
      <c r="C3" s="1"/>
      <c r="D3" s="1"/>
      <c r="E3" s="1"/>
      <c r="F3" s="1"/>
    </row>
    <row r="4" spans="1:6" ht="31.95" customHeight="1" x14ac:dyDescent="0.3">
      <c r="A4" s="12" t="s">
        <v>5</v>
      </c>
      <c r="B4" s="12" t="s">
        <v>110</v>
      </c>
      <c r="C4" s="12" t="s">
        <v>111</v>
      </c>
      <c r="D4" s="12" t="s">
        <v>112</v>
      </c>
      <c r="E4" s="12" t="s">
        <v>113</v>
      </c>
      <c r="F4" s="12" t="s">
        <v>114</v>
      </c>
    </row>
    <row r="5" spans="1:6" x14ac:dyDescent="0.3">
      <c r="A5" s="13" t="s">
        <v>75</v>
      </c>
      <c r="B5" s="46">
        <v>0.62</v>
      </c>
      <c r="C5" s="47">
        <f>INDEX(LR_Model!$H$6:$H$17,MATCH(A5,LR_Model!$A$6:$A$17,0))</f>
        <v>0.65530864197530869</v>
      </c>
      <c r="D5" s="32">
        <f>C5-B5</f>
        <v>3.5308641975308697E-2</v>
      </c>
      <c r="E5" s="16" t="s">
        <v>115</v>
      </c>
      <c r="F5" s="14" t="s">
        <v>116</v>
      </c>
    </row>
    <row r="6" spans="1:6" x14ac:dyDescent="0.3">
      <c r="A6" s="13" t="s">
        <v>76</v>
      </c>
      <c r="B6" s="46">
        <v>0.77</v>
      </c>
      <c r="C6" s="47">
        <f>INDEX(LR_Model!$H$6:$H$17,MATCH(A6,LR_Model!$A$6:$A$17,0))</f>
        <v>0.75334669338677351</v>
      </c>
      <c r="D6" s="32">
        <f>C6-B6</f>
        <v>-1.6653306613226504E-2</v>
      </c>
      <c r="E6" s="16" t="s">
        <v>115</v>
      </c>
      <c r="F6" s="14" t="s">
        <v>116</v>
      </c>
    </row>
    <row r="7" spans="1:6" x14ac:dyDescent="0.3">
      <c r="A7" s="13" t="s">
        <v>84</v>
      </c>
      <c r="B7" s="46">
        <v>0.61599999999999999</v>
      </c>
      <c r="C7" s="47">
        <f>INDEX(LR_Model!$H$6:$H$17,MATCH(A7,LR_Model!$A$6:$A$17,0))</f>
        <v>0.62200956937799046</v>
      </c>
      <c r="D7" s="32">
        <f>C7-B7</f>
        <v>6.0095693779904646E-3</v>
      </c>
      <c r="E7" s="16" t="s">
        <v>117</v>
      </c>
      <c r="F7" s="14" t="s">
        <v>118</v>
      </c>
    </row>
    <row r="8" spans="1:6" x14ac:dyDescent="0.3">
      <c r="A8" s="13" t="s">
        <v>86</v>
      </c>
      <c r="B8" s="46">
        <v>0.45400000000000001</v>
      </c>
      <c r="C8" s="47">
        <f>INDEX(LR_Model!$H$6:$H$17,MATCH(A8,LR_Model!$A$6:$A$17,0))</f>
        <v>0.4528978484202365</v>
      </c>
      <c r="D8" s="32">
        <f>C8-B8</f>
        <v>-1.1021515797635106E-3</v>
      </c>
      <c r="E8" s="16" t="s">
        <v>117</v>
      </c>
      <c r="F8" s="14" t="s">
        <v>118</v>
      </c>
    </row>
    <row r="9" spans="1:6" x14ac:dyDescent="0.3">
      <c r="A9" s="1"/>
      <c r="B9" s="1"/>
      <c r="C9" s="1"/>
      <c r="D9" s="1"/>
      <c r="E9" s="1"/>
      <c r="F9" s="1"/>
    </row>
    <row r="10" spans="1:6" x14ac:dyDescent="0.3">
      <c r="A10" s="6" t="s">
        <v>119</v>
      </c>
      <c r="B10" s="1"/>
      <c r="C10" s="1"/>
      <c r="D10" s="48">
        <f>SUMPRODUCT(ABS(D5:D8))/COUNT(D5:D8)</f>
        <v>1.4768417386572294E-2</v>
      </c>
      <c r="E10" s="1"/>
      <c r="F10" s="1"/>
    </row>
    <row r="11" spans="1:6" x14ac:dyDescent="0.3">
      <c r="A11" s="1"/>
      <c r="B11" s="1"/>
      <c r="C11" s="1"/>
      <c r="D11" s="1"/>
      <c r="E11" s="1"/>
      <c r="F11" s="1"/>
    </row>
    <row r="12" spans="1:6" x14ac:dyDescent="0.3">
      <c r="A12" s="3" t="s">
        <v>120</v>
      </c>
      <c r="B12" s="1"/>
      <c r="C12" s="1"/>
      <c r="D12" s="1"/>
      <c r="E12" s="1"/>
      <c r="F12"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D25"/>
  <sheetViews>
    <sheetView showGridLines="0" topLeftCell="A5" workbookViewId="0">
      <selection activeCell="D32" sqref="D32"/>
    </sheetView>
  </sheetViews>
  <sheetFormatPr defaultRowHeight="14.4" x14ac:dyDescent="0.3"/>
  <cols>
    <col min="1" max="1" width="3" customWidth="1"/>
    <col min="2" max="2" width="48" customWidth="1"/>
    <col min="3" max="3" width="18" customWidth="1"/>
    <col min="4" max="4" width="70" customWidth="1"/>
  </cols>
  <sheetData>
    <row r="1" spans="1:4" ht="17.399999999999999" x14ac:dyDescent="0.3">
      <c r="A1" s="1"/>
      <c r="B1" s="2" t="s">
        <v>121</v>
      </c>
      <c r="C1" s="1"/>
      <c r="D1" s="1"/>
    </row>
    <row r="2" spans="1:4" x14ac:dyDescent="0.3">
      <c r="A2" s="1"/>
      <c r="B2" s="3" t="s">
        <v>122</v>
      </c>
      <c r="C2" s="1"/>
      <c r="D2" s="1"/>
    </row>
    <row r="3" spans="1:4" x14ac:dyDescent="0.3">
      <c r="A3" s="1"/>
      <c r="B3" s="1"/>
      <c r="C3" s="1"/>
      <c r="D3" s="1"/>
    </row>
    <row r="4" spans="1:4" ht="31.95" customHeight="1" x14ac:dyDescent="0.3">
      <c r="A4" s="1"/>
      <c r="B4" s="12" t="s">
        <v>123</v>
      </c>
      <c r="C4" s="12" t="s">
        <v>124</v>
      </c>
      <c r="D4" s="12" t="s">
        <v>125</v>
      </c>
    </row>
    <row r="5" spans="1:4" x14ac:dyDescent="0.3">
      <c r="A5" s="1"/>
      <c r="B5" s="8" t="s">
        <v>41</v>
      </c>
      <c r="C5" s="34">
        <v>10000000</v>
      </c>
      <c r="D5" s="3" t="s">
        <v>126</v>
      </c>
    </row>
    <row r="6" spans="1:4" x14ac:dyDescent="0.3">
      <c r="A6" s="1"/>
      <c r="B6" s="8" t="s">
        <v>127</v>
      </c>
      <c r="C6" s="34">
        <v>4200000</v>
      </c>
      <c r="D6" s="3" t="s">
        <v>128</v>
      </c>
    </row>
    <row r="7" spans="1:4" x14ac:dyDescent="0.3">
      <c r="A7" s="1"/>
      <c r="B7" s="8" t="s">
        <v>129</v>
      </c>
      <c r="C7" s="34">
        <v>600000</v>
      </c>
      <c r="D7" s="3" t="s">
        <v>130</v>
      </c>
    </row>
    <row r="8" spans="1:4" x14ac:dyDescent="0.3">
      <c r="A8" s="1"/>
      <c r="B8" s="8" t="s">
        <v>131</v>
      </c>
      <c r="C8" s="34">
        <v>400000</v>
      </c>
      <c r="D8" s="3" t="s">
        <v>132</v>
      </c>
    </row>
    <row r="9" spans="1:4" x14ac:dyDescent="0.3">
      <c r="A9" s="1"/>
      <c r="B9" s="8" t="s">
        <v>43</v>
      </c>
      <c r="C9" s="19">
        <f>C6+C7+C8</f>
        <v>5200000</v>
      </c>
      <c r="D9" s="3" t="s">
        <v>133</v>
      </c>
    </row>
    <row r="10" spans="1:4" x14ac:dyDescent="0.3">
      <c r="A10" s="1"/>
      <c r="B10" s="8" t="s">
        <v>134</v>
      </c>
      <c r="C10" s="34">
        <v>350000</v>
      </c>
      <c r="D10" s="3" t="s">
        <v>135</v>
      </c>
    </row>
    <row r="11" spans="1:4" x14ac:dyDescent="0.3">
      <c r="A11" s="1"/>
      <c r="B11" s="8" t="s">
        <v>136</v>
      </c>
      <c r="C11" s="34">
        <v>250000</v>
      </c>
      <c r="D11" s="3" t="s">
        <v>137</v>
      </c>
    </row>
    <row r="12" spans="1:4" x14ac:dyDescent="0.3">
      <c r="A12" s="1"/>
      <c r="B12" s="6" t="s">
        <v>138</v>
      </c>
      <c r="C12" s="49">
        <f>C9+C10+C11</f>
        <v>5800000</v>
      </c>
      <c r="D12" s="3"/>
    </row>
    <row r="13" spans="1:4" x14ac:dyDescent="0.3">
      <c r="A13" s="1"/>
      <c r="B13" s="1"/>
      <c r="C13" s="1"/>
      <c r="D13" s="1"/>
    </row>
    <row r="14" spans="1:4" x14ac:dyDescent="0.3">
      <c r="A14" s="1"/>
      <c r="B14" s="8" t="s">
        <v>139</v>
      </c>
      <c r="C14" s="21">
        <f>IF(C5=0,0,C9/C5)</f>
        <v>0.52</v>
      </c>
      <c r="D14" s="3" t="s">
        <v>140</v>
      </c>
    </row>
    <row r="15" spans="1:4" x14ac:dyDescent="0.3">
      <c r="A15" s="1"/>
      <c r="B15" s="8" t="s">
        <v>141</v>
      </c>
      <c r="C15" s="21">
        <f>IF(C5=0,0,(C10+C11)/C5)</f>
        <v>0.06</v>
      </c>
      <c r="D15" s="3" t="s">
        <v>142</v>
      </c>
    </row>
    <row r="16" spans="1:4" x14ac:dyDescent="0.3">
      <c r="A16" s="1"/>
      <c r="B16" s="6" t="s">
        <v>143</v>
      </c>
      <c r="C16" s="20">
        <f>IF(C5=0,0,C12/C5)</f>
        <v>0.57999999999999996</v>
      </c>
      <c r="D16" s="3" t="s">
        <v>144</v>
      </c>
    </row>
    <row r="17" spans="1:4" x14ac:dyDescent="0.3">
      <c r="A17" s="1"/>
      <c r="B17" s="8" t="s">
        <v>145</v>
      </c>
      <c r="C17" s="11">
        <v>0.3</v>
      </c>
      <c r="D17" s="3" t="s">
        <v>146</v>
      </c>
    </row>
    <row r="18" spans="1:4" x14ac:dyDescent="0.3">
      <c r="A18" s="1"/>
      <c r="B18" s="6" t="s">
        <v>147</v>
      </c>
      <c r="C18" s="20">
        <f>C16+C17</f>
        <v>0.87999999999999989</v>
      </c>
      <c r="D18" s="3" t="s">
        <v>148</v>
      </c>
    </row>
    <row r="19" spans="1:4" x14ac:dyDescent="0.3">
      <c r="A19" s="1"/>
      <c r="B19" s="8" t="s">
        <v>149</v>
      </c>
      <c r="C19" s="19">
        <f>C5*(1-C18)</f>
        <v>1200000.0000000012</v>
      </c>
      <c r="D19" s="3" t="s">
        <v>150</v>
      </c>
    </row>
    <row r="20" spans="1:4" x14ac:dyDescent="0.3">
      <c r="A20" s="1"/>
      <c r="B20" s="1"/>
      <c r="C20" s="1"/>
      <c r="D20" s="1"/>
    </row>
    <row r="21" spans="1:4" x14ac:dyDescent="0.3">
      <c r="A21" s="1"/>
      <c r="B21" s="8" t="s">
        <v>151</v>
      </c>
      <c r="C21" s="47">
        <f>Inputs!C7</f>
        <v>0.65</v>
      </c>
      <c r="D21" s="3" t="s">
        <v>152</v>
      </c>
    </row>
    <row r="22" spans="1:4" x14ac:dyDescent="0.3">
      <c r="A22" s="1"/>
      <c r="B22" s="8" t="s">
        <v>153</v>
      </c>
      <c r="C22" s="50" t="str">
        <f>IF(C16&gt;C21,"Above target - review pricing","Within target")</f>
        <v>Within target</v>
      </c>
      <c r="D22" s="3"/>
    </row>
    <row r="23" spans="1:4" x14ac:dyDescent="0.3">
      <c r="A23" s="1"/>
      <c r="B23" s="8" t="s">
        <v>154</v>
      </c>
      <c r="C23" s="47">
        <f>LR_Model!F24</f>
        <v>0.57640033623352949</v>
      </c>
      <c r="D23" s="3" t="s">
        <v>155</v>
      </c>
    </row>
    <row r="24" spans="1:4" x14ac:dyDescent="0.3">
      <c r="A24" s="1"/>
      <c r="B24" s="1"/>
      <c r="C24" s="1"/>
      <c r="D24" s="1"/>
    </row>
    <row r="25" spans="1:4" x14ac:dyDescent="0.3">
      <c r="A25" s="1"/>
      <c r="B25" s="3" t="s">
        <v>156</v>
      </c>
      <c r="C25" s="1"/>
      <c r="D25" s="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L45"/>
  <sheetViews>
    <sheetView showGridLines="0" topLeftCell="A19" workbookViewId="0">
      <selection activeCell="G43" sqref="G43"/>
    </sheetView>
  </sheetViews>
  <sheetFormatPr defaultRowHeight="14.4" x14ac:dyDescent="0.3"/>
  <cols>
    <col min="1" max="1" width="16" customWidth="1"/>
    <col min="2" max="11" width="11" customWidth="1"/>
    <col min="12" max="12" width="16" customWidth="1"/>
    <col min="13" max="13" width="11" customWidth="1"/>
  </cols>
  <sheetData>
    <row r="1" spans="1:12" ht="17.399999999999999" x14ac:dyDescent="0.3">
      <c r="A1" s="2" t="s">
        <v>157</v>
      </c>
      <c r="B1" s="1"/>
      <c r="C1" s="1"/>
      <c r="D1" s="1"/>
      <c r="E1" s="1"/>
      <c r="F1" s="1"/>
      <c r="G1" s="1"/>
      <c r="H1" s="1"/>
      <c r="I1" s="1"/>
      <c r="J1" s="1"/>
      <c r="K1" s="1"/>
      <c r="L1" s="1"/>
    </row>
    <row r="2" spans="1:12" ht="24" customHeight="1" x14ac:dyDescent="0.3">
      <c r="A2" s="71" t="s">
        <v>158</v>
      </c>
      <c r="B2" s="72"/>
      <c r="C2" s="72"/>
      <c r="D2" s="72"/>
      <c r="E2" s="72"/>
      <c r="F2" s="72"/>
      <c r="G2" s="72"/>
      <c r="H2" s="72"/>
      <c r="I2" s="72"/>
      <c r="J2" s="72"/>
      <c r="K2" s="72"/>
      <c r="L2" s="72"/>
    </row>
    <row r="3" spans="1:12" x14ac:dyDescent="0.3">
      <c r="A3" s="72"/>
      <c r="B3" s="72"/>
      <c r="C3" s="72"/>
      <c r="D3" s="72"/>
      <c r="E3" s="72"/>
      <c r="F3" s="72"/>
      <c r="G3" s="72"/>
      <c r="H3" s="72"/>
      <c r="I3" s="72"/>
      <c r="J3" s="72"/>
      <c r="K3" s="72"/>
      <c r="L3" s="72"/>
    </row>
    <row r="4" spans="1:12" x14ac:dyDescent="0.3">
      <c r="A4" s="1"/>
      <c r="B4" s="1"/>
      <c r="C4" s="1"/>
      <c r="D4" s="1"/>
      <c r="E4" s="1"/>
      <c r="F4" s="1"/>
      <c r="G4" s="1"/>
      <c r="H4" s="1"/>
      <c r="I4" s="1"/>
      <c r="J4" s="1"/>
      <c r="K4" s="1"/>
      <c r="L4" s="1"/>
    </row>
    <row r="5" spans="1:12" x14ac:dyDescent="0.3">
      <c r="A5" s="6" t="s">
        <v>159</v>
      </c>
      <c r="B5" s="1"/>
      <c r="C5" s="1"/>
      <c r="D5" s="1"/>
      <c r="E5" s="1"/>
      <c r="F5" s="1"/>
      <c r="G5" s="1"/>
      <c r="H5" s="1"/>
      <c r="I5" s="1"/>
      <c r="J5" s="1"/>
      <c r="K5" s="1"/>
      <c r="L5" s="1"/>
    </row>
    <row r="6" spans="1:12" ht="31.95" customHeight="1" x14ac:dyDescent="0.3">
      <c r="A6" s="12" t="s">
        <v>160</v>
      </c>
      <c r="B6" s="12" t="s">
        <v>161</v>
      </c>
      <c r="C6" s="12" t="s">
        <v>162</v>
      </c>
      <c r="D6" s="12" t="s">
        <v>163</v>
      </c>
      <c r="E6" s="12" t="s">
        <v>164</v>
      </c>
      <c r="F6" s="12" t="s">
        <v>165</v>
      </c>
      <c r="G6" s="12" t="s">
        <v>166</v>
      </c>
      <c r="H6" s="12" t="s">
        <v>167</v>
      </c>
      <c r="I6" s="12" t="s">
        <v>168</v>
      </c>
      <c r="J6" s="12" t="s">
        <v>169</v>
      </c>
      <c r="K6" s="12" t="s">
        <v>170</v>
      </c>
      <c r="L6" s="12" t="s">
        <v>171</v>
      </c>
    </row>
    <row r="7" spans="1:12" x14ac:dyDescent="0.3">
      <c r="A7" s="13" t="s">
        <v>76</v>
      </c>
      <c r="B7" s="15">
        <v>2549</v>
      </c>
      <c r="C7" s="15">
        <v>3850</v>
      </c>
      <c r="D7" s="15">
        <v>4149</v>
      </c>
      <c r="E7" s="15">
        <v>4482</v>
      </c>
      <c r="F7" s="15">
        <v>4606</v>
      </c>
      <c r="G7" s="15">
        <v>4656</v>
      </c>
      <c r="H7" s="15">
        <v>4671</v>
      </c>
      <c r="I7" s="15">
        <v>4688</v>
      </c>
      <c r="J7" s="15">
        <v>4694</v>
      </c>
      <c r="K7" s="51">
        <v>4699</v>
      </c>
      <c r="L7" s="15">
        <v>4699</v>
      </c>
    </row>
    <row r="8" spans="1:12" x14ac:dyDescent="0.3">
      <c r="A8" s="13" t="s">
        <v>77</v>
      </c>
      <c r="B8" s="15">
        <v>2035</v>
      </c>
      <c r="C8" s="15">
        <v>3003</v>
      </c>
      <c r="D8" s="15">
        <v>3600</v>
      </c>
      <c r="E8" s="15">
        <v>3737</v>
      </c>
      <c r="F8" s="15">
        <v>3869</v>
      </c>
      <c r="G8" s="15">
        <v>3926</v>
      </c>
      <c r="H8" s="15">
        <v>3941</v>
      </c>
      <c r="I8" s="15">
        <v>3949</v>
      </c>
      <c r="J8" s="51">
        <v>3951</v>
      </c>
      <c r="K8" s="52"/>
      <c r="L8" s="15">
        <v>3955</v>
      </c>
    </row>
    <row r="9" spans="1:12" x14ac:dyDescent="0.3">
      <c r="A9" s="13" t="s">
        <v>79</v>
      </c>
      <c r="B9" s="15">
        <v>2031</v>
      </c>
      <c r="C9" s="15">
        <v>2983</v>
      </c>
      <c r="D9" s="15">
        <v>3383</v>
      </c>
      <c r="E9" s="15">
        <v>3632</v>
      </c>
      <c r="F9" s="15">
        <v>3724</v>
      </c>
      <c r="G9" s="15">
        <v>3776</v>
      </c>
      <c r="H9" s="15">
        <v>3777</v>
      </c>
      <c r="I9" s="51">
        <v>3792</v>
      </c>
      <c r="J9" s="52"/>
      <c r="K9" s="52"/>
      <c r="L9" s="15">
        <v>3797</v>
      </c>
    </row>
    <row r="10" spans="1:12" x14ac:dyDescent="0.3">
      <c r="A10" s="13" t="s">
        <v>80</v>
      </c>
      <c r="B10" s="15">
        <v>2320</v>
      </c>
      <c r="C10" s="15">
        <v>4343</v>
      </c>
      <c r="D10" s="15">
        <v>4997</v>
      </c>
      <c r="E10" s="15">
        <v>5218</v>
      </c>
      <c r="F10" s="15">
        <v>5396</v>
      </c>
      <c r="G10" s="15">
        <v>5436</v>
      </c>
      <c r="H10" s="51">
        <v>5472</v>
      </c>
      <c r="I10" s="52"/>
      <c r="J10" s="52"/>
      <c r="K10" s="52"/>
      <c r="L10" s="15">
        <v>5494</v>
      </c>
    </row>
    <row r="11" spans="1:12" x14ac:dyDescent="0.3">
      <c r="A11" s="13" t="s">
        <v>81</v>
      </c>
      <c r="B11" s="15">
        <v>2350</v>
      </c>
      <c r="C11" s="15">
        <v>3312</v>
      </c>
      <c r="D11" s="15">
        <v>3883</v>
      </c>
      <c r="E11" s="15">
        <v>4084</v>
      </c>
      <c r="F11" s="15">
        <v>4182</v>
      </c>
      <c r="G11" s="51">
        <v>4229</v>
      </c>
      <c r="H11" s="52"/>
      <c r="I11" s="52"/>
      <c r="J11" s="52"/>
      <c r="K11" s="52"/>
      <c r="L11" s="15">
        <v>4280</v>
      </c>
    </row>
    <row r="12" spans="1:12" x14ac:dyDescent="0.3">
      <c r="A12" s="13" t="s">
        <v>82</v>
      </c>
      <c r="B12" s="15">
        <v>2718</v>
      </c>
      <c r="C12" s="15">
        <v>4439</v>
      </c>
      <c r="D12" s="15">
        <v>4903</v>
      </c>
      <c r="E12" s="15">
        <v>5200</v>
      </c>
      <c r="F12" s="51">
        <v>5370</v>
      </c>
      <c r="G12" s="52"/>
      <c r="H12" s="52"/>
      <c r="I12" s="52"/>
      <c r="J12" s="52"/>
      <c r="K12" s="52"/>
      <c r="L12" s="15">
        <v>5471</v>
      </c>
    </row>
    <row r="13" spans="1:12" x14ac:dyDescent="0.3">
      <c r="A13" s="13" t="s">
        <v>83</v>
      </c>
      <c r="B13" s="15">
        <v>2711</v>
      </c>
      <c r="C13" s="15">
        <v>4012</v>
      </c>
      <c r="D13" s="15">
        <v>4471</v>
      </c>
      <c r="E13" s="51">
        <v>4704</v>
      </c>
      <c r="F13" s="52"/>
      <c r="G13" s="52"/>
      <c r="H13" s="52"/>
      <c r="I13" s="52"/>
      <c r="J13" s="52"/>
      <c r="K13" s="52"/>
      <c r="L13" s="15">
        <v>5015</v>
      </c>
    </row>
    <row r="14" spans="1:12" x14ac:dyDescent="0.3">
      <c r="A14" s="13" t="s">
        <v>84</v>
      </c>
      <c r="B14" s="15">
        <v>2891</v>
      </c>
      <c r="C14" s="15">
        <v>4412</v>
      </c>
      <c r="D14" s="51">
        <v>5106</v>
      </c>
      <c r="E14" s="52"/>
      <c r="F14" s="52"/>
      <c r="G14" s="52"/>
      <c r="H14" s="52"/>
      <c r="I14" s="52"/>
      <c r="J14" s="52"/>
      <c r="K14" s="52"/>
      <c r="L14" s="15">
        <v>5525</v>
      </c>
    </row>
    <row r="15" spans="1:12" x14ac:dyDescent="0.3">
      <c r="A15" s="13" t="s">
        <v>86</v>
      </c>
      <c r="B15" s="15">
        <v>2554</v>
      </c>
      <c r="C15" s="51">
        <v>3681</v>
      </c>
      <c r="D15" s="52"/>
      <c r="E15" s="52"/>
      <c r="F15" s="52"/>
      <c r="G15" s="52"/>
      <c r="H15" s="52"/>
      <c r="I15" s="52"/>
      <c r="J15" s="52"/>
      <c r="K15" s="52"/>
      <c r="L15" s="15">
        <v>4673</v>
      </c>
    </row>
    <row r="16" spans="1:12" x14ac:dyDescent="0.3">
      <c r="A16" s="13" t="s">
        <v>87</v>
      </c>
      <c r="B16" s="51">
        <v>2939</v>
      </c>
      <c r="C16" s="52"/>
      <c r="D16" s="52"/>
      <c r="E16" s="52"/>
      <c r="F16" s="52"/>
      <c r="G16" s="52"/>
      <c r="H16" s="52"/>
      <c r="I16" s="52"/>
      <c r="J16" s="52"/>
      <c r="K16" s="52"/>
      <c r="L16" s="15">
        <v>5716</v>
      </c>
    </row>
    <row r="17" spans="1:12" x14ac:dyDescent="0.3">
      <c r="A17" s="1"/>
      <c r="B17" s="1"/>
      <c r="C17" s="1"/>
      <c r="D17" s="1"/>
      <c r="E17" s="1"/>
      <c r="F17" s="1"/>
      <c r="G17" s="1"/>
      <c r="H17" s="1"/>
      <c r="I17" s="1"/>
      <c r="J17" s="1"/>
      <c r="K17" s="1"/>
      <c r="L17" s="1"/>
    </row>
    <row r="18" spans="1:12" x14ac:dyDescent="0.3">
      <c r="A18" s="6" t="s">
        <v>172</v>
      </c>
      <c r="B18" s="1"/>
      <c r="C18" s="1"/>
      <c r="D18" s="1"/>
      <c r="E18" s="1"/>
      <c r="F18" s="1"/>
      <c r="G18" s="1"/>
      <c r="H18" s="1"/>
      <c r="I18" s="1"/>
      <c r="J18" s="1"/>
      <c r="K18" s="1"/>
      <c r="L18" s="1"/>
    </row>
    <row r="19" spans="1:12" ht="31.95" customHeight="1" x14ac:dyDescent="0.3">
      <c r="A19" s="12" t="s">
        <v>160</v>
      </c>
      <c r="B19" s="12" t="s">
        <v>161</v>
      </c>
      <c r="C19" s="12" t="s">
        <v>162</v>
      </c>
      <c r="D19" s="12" t="s">
        <v>163</v>
      </c>
      <c r="E19" s="12" t="s">
        <v>164</v>
      </c>
      <c r="F19" s="12" t="s">
        <v>165</v>
      </c>
      <c r="G19" s="12" t="s">
        <v>166</v>
      </c>
      <c r="H19" s="12" t="s">
        <v>167</v>
      </c>
      <c r="I19" s="12" t="s">
        <v>168</v>
      </c>
      <c r="J19" s="12" t="s">
        <v>169</v>
      </c>
      <c r="K19" s="12" t="s">
        <v>170</v>
      </c>
      <c r="L19" s="1"/>
    </row>
    <row r="20" spans="1:12" x14ac:dyDescent="0.3">
      <c r="A20" s="13" t="s">
        <v>76</v>
      </c>
      <c r="B20" s="15">
        <v>3942</v>
      </c>
      <c r="C20" s="15">
        <v>4522</v>
      </c>
      <c r="D20" s="15">
        <v>4688</v>
      </c>
      <c r="E20" s="15">
        <v>4755</v>
      </c>
      <c r="F20" s="15">
        <v>4717</v>
      </c>
      <c r="G20" s="15">
        <v>4707</v>
      </c>
      <c r="H20" s="15">
        <v>4698</v>
      </c>
      <c r="I20" s="15">
        <v>4697</v>
      </c>
      <c r="J20" s="15">
        <v>4699</v>
      </c>
      <c r="K20" s="51">
        <v>4699</v>
      </c>
      <c r="L20" s="1"/>
    </row>
    <row r="21" spans="1:12" x14ac:dyDescent="0.3">
      <c r="A21" s="13" t="s">
        <v>77</v>
      </c>
      <c r="B21" s="15">
        <v>3336</v>
      </c>
      <c r="C21" s="15">
        <v>3917</v>
      </c>
      <c r="D21" s="15">
        <v>3861</v>
      </c>
      <c r="E21" s="15">
        <v>3921</v>
      </c>
      <c r="F21" s="15">
        <v>3968</v>
      </c>
      <c r="G21" s="15">
        <v>3980</v>
      </c>
      <c r="H21" s="15">
        <v>3950</v>
      </c>
      <c r="I21" s="15">
        <v>3953</v>
      </c>
      <c r="J21" s="51">
        <v>3955</v>
      </c>
      <c r="K21" s="52"/>
      <c r="L21" s="1"/>
    </row>
    <row r="22" spans="1:12" x14ac:dyDescent="0.3">
      <c r="A22" s="13" t="s">
        <v>79</v>
      </c>
      <c r="B22" s="15">
        <v>3123</v>
      </c>
      <c r="C22" s="15">
        <v>3563</v>
      </c>
      <c r="D22" s="15">
        <v>3780</v>
      </c>
      <c r="E22" s="15">
        <v>3763</v>
      </c>
      <c r="F22" s="15">
        <v>3773</v>
      </c>
      <c r="G22" s="15">
        <v>3803</v>
      </c>
      <c r="H22" s="15">
        <v>3794</v>
      </c>
      <c r="I22" s="51">
        <v>3798</v>
      </c>
      <c r="J22" s="52"/>
      <c r="K22" s="52"/>
      <c r="L22" s="1"/>
    </row>
    <row r="23" spans="1:12" x14ac:dyDescent="0.3">
      <c r="A23" s="13" t="s">
        <v>80</v>
      </c>
      <c r="B23" s="15">
        <v>4608</v>
      </c>
      <c r="C23" s="15">
        <v>5315</v>
      </c>
      <c r="D23" s="15">
        <v>5378</v>
      </c>
      <c r="E23" s="15">
        <v>5445</v>
      </c>
      <c r="F23" s="15">
        <v>5479</v>
      </c>
      <c r="G23" s="15">
        <v>5503</v>
      </c>
      <c r="H23" s="51">
        <v>5482</v>
      </c>
      <c r="I23" s="52"/>
      <c r="J23" s="52"/>
      <c r="K23" s="52"/>
      <c r="L23" s="1"/>
    </row>
    <row r="24" spans="1:12" x14ac:dyDescent="0.3">
      <c r="A24" s="13" t="s">
        <v>81</v>
      </c>
      <c r="B24" s="15">
        <v>3622</v>
      </c>
      <c r="C24" s="15">
        <v>4100</v>
      </c>
      <c r="D24" s="15">
        <v>4310</v>
      </c>
      <c r="E24" s="15">
        <v>4216</v>
      </c>
      <c r="F24" s="15">
        <v>4286</v>
      </c>
      <c r="G24" s="51">
        <v>4288</v>
      </c>
      <c r="H24" s="52"/>
      <c r="I24" s="52"/>
      <c r="J24" s="52"/>
      <c r="K24" s="52"/>
      <c r="L24" s="1"/>
    </row>
    <row r="25" spans="1:12" x14ac:dyDescent="0.3">
      <c r="A25" s="13" t="s">
        <v>82</v>
      </c>
      <c r="B25" s="15">
        <v>4321</v>
      </c>
      <c r="C25" s="15">
        <v>5500</v>
      </c>
      <c r="D25" s="15">
        <v>5332</v>
      </c>
      <c r="E25" s="15">
        <v>5431</v>
      </c>
      <c r="F25" s="51">
        <v>5527</v>
      </c>
      <c r="G25" s="52"/>
      <c r="H25" s="52"/>
      <c r="I25" s="52"/>
      <c r="J25" s="52"/>
      <c r="K25" s="52"/>
      <c r="L25" s="1"/>
    </row>
    <row r="26" spans="1:12" x14ac:dyDescent="0.3">
      <c r="A26" s="13" t="s">
        <v>83</v>
      </c>
      <c r="B26" s="15">
        <v>4475</v>
      </c>
      <c r="C26" s="15">
        <v>4942</v>
      </c>
      <c r="D26" s="15">
        <v>4984</v>
      </c>
      <c r="E26" s="51">
        <v>4968</v>
      </c>
      <c r="F26" s="52"/>
      <c r="G26" s="52"/>
      <c r="H26" s="52"/>
      <c r="I26" s="52"/>
      <c r="J26" s="52"/>
      <c r="K26" s="52"/>
      <c r="L26" s="1"/>
    </row>
    <row r="27" spans="1:12" x14ac:dyDescent="0.3">
      <c r="A27" s="13" t="s">
        <v>84</v>
      </c>
      <c r="B27" s="15">
        <v>4066</v>
      </c>
      <c r="C27" s="15">
        <v>5424</v>
      </c>
      <c r="D27" s="51">
        <v>5624</v>
      </c>
      <c r="E27" s="52"/>
      <c r="F27" s="52"/>
      <c r="G27" s="52"/>
      <c r="H27" s="52"/>
      <c r="I27" s="52"/>
      <c r="J27" s="52"/>
      <c r="K27" s="52"/>
      <c r="L27" s="1"/>
    </row>
    <row r="28" spans="1:12" x14ac:dyDescent="0.3">
      <c r="A28" s="13" t="s">
        <v>86</v>
      </c>
      <c r="B28" s="15">
        <v>3848</v>
      </c>
      <c r="C28" s="51">
        <v>4437</v>
      </c>
      <c r="D28" s="52"/>
      <c r="E28" s="52"/>
      <c r="F28" s="52"/>
      <c r="G28" s="52"/>
      <c r="H28" s="52"/>
      <c r="I28" s="52"/>
      <c r="J28" s="52"/>
      <c r="K28" s="52"/>
      <c r="L28" s="1"/>
    </row>
    <row r="29" spans="1:12" x14ac:dyDescent="0.3">
      <c r="A29" s="13" t="s">
        <v>87</v>
      </c>
      <c r="B29" s="51">
        <v>4813</v>
      </c>
      <c r="C29" s="52"/>
      <c r="D29" s="52"/>
      <c r="E29" s="52"/>
      <c r="F29" s="52"/>
      <c r="G29" s="52"/>
      <c r="H29" s="52"/>
      <c r="I29" s="52"/>
      <c r="J29" s="52"/>
      <c r="K29" s="52"/>
      <c r="L29" s="1"/>
    </row>
    <row r="30" spans="1:12" x14ac:dyDescent="0.3">
      <c r="A30" s="1"/>
      <c r="B30" s="1"/>
      <c r="C30" s="1"/>
      <c r="D30" s="1"/>
      <c r="E30" s="1"/>
      <c r="F30" s="1"/>
      <c r="G30" s="1"/>
      <c r="H30" s="1"/>
      <c r="I30" s="1"/>
      <c r="J30" s="1"/>
      <c r="K30" s="1"/>
      <c r="L30" s="1"/>
    </row>
    <row r="31" spans="1:12" x14ac:dyDescent="0.3">
      <c r="A31" s="6" t="s">
        <v>173</v>
      </c>
      <c r="B31" s="1"/>
      <c r="C31" s="1"/>
      <c r="D31" s="1"/>
      <c r="E31" s="1"/>
      <c r="F31" s="1"/>
      <c r="G31" s="1"/>
      <c r="H31" s="1"/>
      <c r="I31" s="1"/>
      <c r="J31" s="1"/>
      <c r="K31" s="1"/>
      <c r="L31" s="1"/>
    </row>
    <row r="32" spans="1:12" ht="31.95" customHeight="1" x14ac:dyDescent="0.3">
      <c r="A32" s="12" t="s">
        <v>160</v>
      </c>
      <c r="B32" s="12" t="s">
        <v>161</v>
      </c>
      <c r="C32" s="12" t="s">
        <v>162</v>
      </c>
      <c r="D32" s="12" t="s">
        <v>163</v>
      </c>
      <c r="E32" s="12" t="s">
        <v>164</v>
      </c>
      <c r="F32" s="12" t="s">
        <v>165</v>
      </c>
      <c r="G32" s="12" t="s">
        <v>166</v>
      </c>
      <c r="H32" s="12" t="s">
        <v>167</v>
      </c>
      <c r="I32" s="12" t="s">
        <v>168</v>
      </c>
      <c r="J32" s="12" t="s">
        <v>169</v>
      </c>
      <c r="K32" s="12" t="s">
        <v>170</v>
      </c>
      <c r="L32" s="1"/>
    </row>
    <row r="33" spans="1:12" x14ac:dyDescent="0.3">
      <c r="A33" s="13" t="s">
        <v>76</v>
      </c>
      <c r="B33" s="19">
        <f t="shared" ref="B33:K33" si="0">B20-B7</f>
        <v>1393</v>
      </c>
      <c r="C33" s="19">
        <f t="shared" si="0"/>
        <v>672</v>
      </c>
      <c r="D33" s="19">
        <f t="shared" si="0"/>
        <v>539</v>
      </c>
      <c r="E33" s="19">
        <f t="shared" si="0"/>
        <v>273</v>
      </c>
      <c r="F33" s="19">
        <f t="shared" si="0"/>
        <v>111</v>
      </c>
      <c r="G33" s="19">
        <f t="shared" si="0"/>
        <v>51</v>
      </c>
      <c r="H33" s="19">
        <f t="shared" si="0"/>
        <v>27</v>
      </c>
      <c r="I33" s="19">
        <f t="shared" si="0"/>
        <v>9</v>
      </c>
      <c r="J33" s="19">
        <f t="shared" si="0"/>
        <v>5</v>
      </c>
      <c r="K33" s="53">
        <f t="shared" si="0"/>
        <v>0</v>
      </c>
      <c r="L33" s="1"/>
    </row>
    <row r="34" spans="1:12" x14ac:dyDescent="0.3">
      <c r="A34" s="13" t="s">
        <v>77</v>
      </c>
      <c r="B34" s="19">
        <f t="shared" ref="B34:J34" si="1">B21-B8</f>
        <v>1301</v>
      </c>
      <c r="C34" s="19">
        <f t="shared" si="1"/>
        <v>914</v>
      </c>
      <c r="D34" s="19">
        <f t="shared" si="1"/>
        <v>261</v>
      </c>
      <c r="E34" s="19">
        <f t="shared" si="1"/>
        <v>184</v>
      </c>
      <c r="F34" s="19">
        <f t="shared" si="1"/>
        <v>99</v>
      </c>
      <c r="G34" s="19">
        <f t="shared" si="1"/>
        <v>54</v>
      </c>
      <c r="H34" s="19">
        <f t="shared" si="1"/>
        <v>9</v>
      </c>
      <c r="I34" s="19">
        <f t="shared" si="1"/>
        <v>4</v>
      </c>
      <c r="J34" s="53">
        <f t="shared" si="1"/>
        <v>4</v>
      </c>
      <c r="K34" s="52"/>
      <c r="L34" s="1"/>
    </row>
    <row r="35" spans="1:12" x14ac:dyDescent="0.3">
      <c r="A35" s="13" t="s">
        <v>79</v>
      </c>
      <c r="B35" s="19">
        <f t="shared" ref="B35:I35" si="2">B22-B9</f>
        <v>1092</v>
      </c>
      <c r="C35" s="19">
        <f t="shared" si="2"/>
        <v>580</v>
      </c>
      <c r="D35" s="19">
        <f t="shared" si="2"/>
        <v>397</v>
      </c>
      <c r="E35" s="19">
        <f t="shared" si="2"/>
        <v>131</v>
      </c>
      <c r="F35" s="19">
        <f t="shared" si="2"/>
        <v>49</v>
      </c>
      <c r="G35" s="19">
        <f t="shared" si="2"/>
        <v>27</v>
      </c>
      <c r="H35" s="19">
        <f t="shared" si="2"/>
        <v>17</v>
      </c>
      <c r="I35" s="53">
        <f t="shared" si="2"/>
        <v>6</v>
      </c>
      <c r="J35" s="52"/>
      <c r="K35" s="52"/>
      <c r="L35" s="1"/>
    </row>
    <row r="36" spans="1:12" x14ac:dyDescent="0.3">
      <c r="A36" s="13" t="s">
        <v>80</v>
      </c>
      <c r="B36" s="19">
        <f t="shared" ref="B36:H36" si="3">B23-B10</f>
        <v>2288</v>
      </c>
      <c r="C36" s="19">
        <f t="shared" si="3"/>
        <v>972</v>
      </c>
      <c r="D36" s="19">
        <f t="shared" si="3"/>
        <v>381</v>
      </c>
      <c r="E36" s="19">
        <f t="shared" si="3"/>
        <v>227</v>
      </c>
      <c r="F36" s="19">
        <f t="shared" si="3"/>
        <v>83</v>
      </c>
      <c r="G36" s="19">
        <f t="shared" si="3"/>
        <v>67</v>
      </c>
      <c r="H36" s="53">
        <f t="shared" si="3"/>
        <v>10</v>
      </c>
      <c r="I36" s="52"/>
      <c r="J36" s="52"/>
      <c r="K36" s="52"/>
      <c r="L36" s="1"/>
    </row>
    <row r="37" spans="1:12" x14ac:dyDescent="0.3">
      <c r="A37" s="13" t="s">
        <v>81</v>
      </c>
      <c r="B37" s="19">
        <f t="shared" ref="B37:G37" si="4">B24-B11</f>
        <v>1272</v>
      </c>
      <c r="C37" s="19">
        <f t="shared" si="4"/>
        <v>788</v>
      </c>
      <c r="D37" s="19">
        <f t="shared" si="4"/>
        <v>427</v>
      </c>
      <c r="E37" s="19">
        <f t="shared" si="4"/>
        <v>132</v>
      </c>
      <c r="F37" s="19">
        <f t="shared" si="4"/>
        <v>104</v>
      </c>
      <c r="G37" s="53">
        <f t="shared" si="4"/>
        <v>59</v>
      </c>
      <c r="H37" s="52"/>
      <c r="I37" s="52"/>
      <c r="J37" s="52"/>
      <c r="K37" s="52"/>
      <c r="L37" s="1"/>
    </row>
    <row r="38" spans="1:12" x14ac:dyDescent="0.3">
      <c r="A38" s="13" t="s">
        <v>82</v>
      </c>
      <c r="B38" s="19">
        <f>B25-B12</f>
        <v>1603</v>
      </c>
      <c r="C38" s="19">
        <f>C25-C12</f>
        <v>1061</v>
      </c>
      <c r="D38" s="19">
        <f>D25-D12</f>
        <v>429</v>
      </c>
      <c r="E38" s="19">
        <f>E25-E12</f>
        <v>231</v>
      </c>
      <c r="F38" s="53">
        <f>F25-F12</f>
        <v>157</v>
      </c>
      <c r="G38" s="52"/>
      <c r="H38" s="52"/>
      <c r="I38" s="52"/>
      <c r="J38" s="52"/>
      <c r="K38" s="52"/>
      <c r="L38" s="1"/>
    </row>
    <row r="39" spans="1:12" x14ac:dyDescent="0.3">
      <c r="A39" s="13" t="s">
        <v>83</v>
      </c>
      <c r="B39" s="19">
        <f>B26-B13</f>
        <v>1764</v>
      </c>
      <c r="C39" s="19">
        <f>C26-C13</f>
        <v>930</v>
      </c>
      <c r="D39" s="19">
        <f>D26-D13</f>
        <v>513</v>
      </c>
      <c r="E39" s="53">
        <f>E26-E13</f>
        <v>264</v>
      </c>
      <c r="F39" s="52"/>
      <c r="G39" s="52"/>
      <c r="H39" s="52"/>
      <c r="I39" s="52"/>
      <c r="J39" s="52"/>
      <c r="K39" s="52"/>
      <c r="L39" s="1"/>
    </row>
    <row r="40" spans="1:12" x14ac:dyDescent="0.3">
      <c r="A40" s="13" t="s">
        <v>84</v>
      </c>
      <c r="B40" s="19">
        <f>B27-B14</f>
        <v>1175</v>
      </c>
      <c r="C40" s="19">
        <f>C27-C14</f>
        <v>1012</v>
      </c>
      <c r="D40" s="53">
        <f>D27-D14</f>
        <v>518</v>
      </c>
      <c r="E40" s="52"/>
      <c r="F40" s="52"/>
      <c r="G40" s="52"/>
      <c r="H40" s="52"/>
      <c r="I40" s="52"/>
      <c r="J40" s="52"/>
      <c r="K40" s="52"/>
      <c r="L40" s="1"/>
    </row>
    <row r="41" spans="1:12" x14ac:dyDescent="0.3">
      <c r="A41" s="13" t="s">
        <v>86</v>
      </c>
      <c r="B41" s="19">
        <f>B28-B15</f>
        <v>1294</v>
      </c>
      <c r="C41" s="53">
        <f>C28-C15</f>
        <v>756</v>
      </c>
      <c r="D41" s="52"/>
      <c r="E41" s="52"/>
      <c r="F41" s="52"/>
      <c r="G41" s="52"/>
      <c r="H41" s="52"/>
      <c r="I41" s="52"/>
      <c r="J41" s="52"/>
      <c r="K41" s="52"/>
      <c r="L41" s="1"/>
    </row>
    <row r="42" spans="1:12" x14ac:dyDescent="0.3">
      <c r="A42" s="13" t="s">
        <v>87</v>
      </c>
      <c r="B42" s="53">
        <f>B29-B16</f>
        <v>1874</v>
      </c>
      <c r="C42" s="52"/>
      <c r="D42" s="52"/>
      <c r="E42" s="52"/>
      <c r="F42" s="52"/>
      <c r="G42" s="52"/>
      <c r="H42" s="52"/>
      <c r="I42" s="52"/>
      <c r="J42" s="52"/>
      <c r="K42" s="52"/>
      <c r="L42" s="1"/>
    </row>
    <row r="43" spans="1:12" x14ac:dyDescent="0.3">
      <c r="A43" s="1"/>
      <c r="B43" s="1"/>
      <c r="C43" s="1"/>
      <c r="D43" s="1"/>
      <c r="E43" s="1"/>
      <c r="F43" s="1"/>
      <c r="G43" s="1"/>
      <c r="H43" s="1"/>
      <c r="I43" s="1"/>
      <c r="J43" s="1"/>
      <c r="K43" s="1"/>
      <c r="L43" s="1"/>
    </row>
    <row r="44" spans="1:12" x14ac:dyDescent="0.3">
      <c r="A44" s="1"/>
      <c r="B44" s="1"/>
      <c r="C44" s="1"/>
      <c r="D44" s="1"/>
      <c r="E44" s="1"/>
      <c r="F44" s="1"/>
      <c r="G44" s="1"/>
      <c r="H44" s="1"/>
      <c r="I44" s="1"/>
      <c r="J44" s="1"/>
      <c r="K44" s="1"/>
      <c r="L44" s="1"/>
    </row>
    <row r="45" spans="1:12" x14ac:dyDescent="0.3">
      <c r="A45" s="3" t="s">
        <v>174</v>
      </c>
      <c r="B45" s="1"/>
      <c r="C45" s="1"/>
      <c r="D45" s="1"/>
      <c r="E45" s="1"/>
      <c r="F45" s="1"/>
      <c r="G45" s="1"/>
      <c r="H45" s="1"/>
      <c r="I45" s="1"/>
      <c r="J45" s="1"/>
      <c r="K45" s="1"/>
      <c r="L45" s="1"/>
    </row>
  </sheetData>
  <mergeCells count="1">
    <mergeCell ref="A2:L3"/>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K48"/>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6" customWidth="1"/>
    <col min="2" max="13" width="11" customWidth="1"/>
  </cols>
  <sheetData>
    <row r="1" spans="1:11" ht="17.399999999999999" x14ac:dyDescent="0.3">
      <c r="A1" s="2" t="s">
        <v>175</v>
      </c>
      <c r="B1" s="1"/>
      <c r="C1" s="1"/>
      <c r="D1" s="1"/>
      <c r="E1" s="1"/>
      <c r="F1" s="1"/>
      <c r="G1" s="1"/>
      <c r="H1" s="1"/>
      <c r="I1" s="1"/>
      <c r="J1" s="1"/>
      <c r="K1" s="1"/>
    </row>
    <row r="2" spans="1:11" x14ac:dyDescent="0.3">
      <c r="A2" s="3" t="s">
        <v>176</v>
      </c>
      <c r="B2" s="1"/>
      <c r="C2" s="1"/>
      <c r="D2" s="1"/>
      <c r="E2" s="1"/>
      <c r="F2" s="1"/>
      <c r="G2" s="1"/>
      <c r="H2" s="1"/>
      <c r="I2" s="1"/>
      <c r="J2" s="1"/>
      <c r="K2" s="1"/>
    </row>
    <row r="3" spans="1:11" x14ac:dyDescent="0.3">
      <c r="A3" s="1"/>
      <c r="B3" s="1"/>
      <c r="C3" s="1"/>
      <c r="D3" s="1"/>
      <c r="E3" s="1"/>
      <c r="F3" s="1"/>
      <c r="G3" s="1"/>
      <c r="H3" s="1"/>
      <c r="I3" s="1"/>
      <c r="J3" s="1"/>
      <c r="K3" s="1"/>
    </row>
    <row r="4" spans="1:11" x14ac:dyDescent="0.3">
      <c r="A4" s="6" t="s">
        <v>177</v>
      </c>
      <c r="B4" s="54">
        <v>2</v>
      </c>
      <c r="C4" s="3" t="s">
        <v>178</v>
      </c>
      <c r="D4" s="1"/>
      <c r="E4" s="1"/>
      <c r="F4" s="1"/>
      <c r="G4" s="1"/>
      <c r="H4" s="1"/>
      <c r="I4" s="1"/>
      <c r="J4" s="1"/>
      <c r="K4" s="1"/>
    </row>
    <row r="5" spans="1:11" x14ac:dyDescent="0.3">
      <c r="A5" s="6" t="s">
        <v>179</v>
      </c>
      <c r="B5" s="55">
        <v>1</v>
      </c>
      <c r="C5" s="3" t="s">
        <v>180</v>
      </c>
      <c r="D5" s="1"/>
      <c r="E5" s="1"/>
      <c r="F5" s="1"/>
      <c r="G5" s="1"/>
      <c r="H5" s="1"/>
      <c r="I5" s="1"/>
      <c r="J5" s="1"/>
      <c r="K5" s="1"/>
    </row>
    <row r="6" spans="1:11" x14ac:dyDescent="0.3">
      <c r="A6" s="6" t="s">
        <v>181</v>
      </c>
      <c r="B6" s="55">
        <v>1</v>
      </c>
      <c r="C6" s="1"/>
      <c r="D6" s="1"/>
      <c r="E6" s="1"/>
      <c r="F6" s="1"/>
      <c r="G6" s="1"/>
      <c r="H6" s="1"/>
      <c r="I6" s="1"/>
      <c r="J6" s="1"/>
      <c r="K6" s="1"/>
    </row>
    <row r="7" spans="1:11" x14ac:dyDescent="0.3">
      <c r="A7" s="1"/>
      <c r="B7" s="1"/>
      <c r="C7" s="1"/>
      <c r="D7" s="1"/>
      <c r="E7" s="1"/>
      <c r="F7" s="1"/>
      <c r="G7" s="1"/>
      <c r="H7" s="1"/>
      <c r="I7" s="1"/>
      <c r="J7" s="1"/>
      <c r="K7" s="1"/>
    </row>
    <row r="8" spans="1:11" ht="15.6" x14ac:dyDescent="0.3">
      <c r="A8" s="56" t="s">
        <v>182</v>
      </c>
      <c r="B8" s="1"/>
      <c r="C8" s="1"/>
      <c r="D8" s="1"/>
      <c r="E8" s="1"/>
      <c r="F8" s="1"/>
      <c r="G8" s="1"/>
      <c r="H8" s="1"/>
      <c r="I8" s="1"/>
      <c r="J8" s="1"/>
      <c r="K8" s="1"/>
    </row>
    <row r="9" spans="1:11" ht="31.95" customHeight="1" x14ac:dyDescent="0.3">
      <c r="A9" s="12" t="s">
        <v>160</v>
      </c>
      <c r="B9" s="12" t="s">
        <v>183</v>
      </c>
      <c r="C9" s="12" t="s">
        <v>184</v>
      </c>
      <c r="D9" s="12" t="s">
        <v>185</v>
      </c>
      <c r="E9" s="12" t="s">
        <v>186</v>
      </c>
      <c r="F9" s="12" t="s">
        <v>187</v>
      </c>
      <c r="G9" s="12" t="s">
        <v>188</v>
      </c>
      <c r="H9" s="12" t="s">
        <v>189</v>
      </c>
      <c r="I9" s="12" t="s">
        <v>190</v>
      </c>
      <c r="J9" s="12" t="s">
        <v>191</v>
      </c>
      <c r="K9" s="12" t="s">
        <v>192</v>
      </c>
    </row>
    <row r="10" spans="1:11" x14ac:dyDescent="0.3">
      <c r="A10" s="17" t="str">
        <f>Triangle_Data!A7</f>
        <v>2013</v>
      </c>
      <c r="B10" s="57">
        <f>Triangle_Data!C7/Triangle_Data!B7</f>
        <v>1.5103962338171832</v>
      </c>
      <c r="C10" s="57">
        <f>Triangle_Data!D7/Triangle_Data!C7</f>
        <v>1.0776623376623378</v>
      </c>
      <c r="D10" s="57">
        <f>Triangle_Data!E7/Triangle_Data!D7</f>
        <v>1.0802603036876355</v>
      </c>
      <c r="E10" s="57">
        <f>Triangle_Data!F7/Triangle_Data!E7</f>
        <v>1.0276662204373048</v>
      </c>
      <c r="F10" s="57">
        <f>Triangle_Data!G7/Triangle_Data!F7</f>
        <v>1.0108554059921842</v>
      </c>
      <c r="G10" s="57">
        <f>Triangle_Data!H7/Triangle_Data!G7</f>
        <v>1.0032216494845361</v>
      </c>
      <c r="H10" s="57">
        <f>Triangle_Data!I7/Triangle_Data!H7</f>
        <v>1.0036394776279169</v>
      </c>
      <c r="I10" s="57">
        <f>Triangle_Data!J7/Triangle_Data!I7</f>
        <v>1.0012798634812288</v>
      </c>
      <c r="J10" s="57">
        <f>Triangle_Data!K7/Triangle_Data!J7</f>
        <v>1.0010651896037495</v>
      </c>
      <c r="K10" s="1"/>
    </row>
    <row r="11" spans="1:11" x14ac:dyDescent="0.3">
      <c r="A11" s="17" t="str">
        <f>Triangle_Data!A8</f>
        <v>2014</v>
      </c>
      <c r="B11" s="57">
        <f>Triangle_Data!C8/Triangle_Data!B8</f>
        <v>1.4756756756756757</v>
      </c>
      <c r="C11" s="57">
        <f>Triangle_Data!D8/Triangle_Data!C8</f>
        <v>1.1988011988011988</v>
      </c>
      <c r="D11" s="57">
        <f>Triangle_Data!E8/Triangle_Data!D8</f>
        <v>1.0380555555555555</v>
      </c>
      <c r="E11" s="57">
        <f>Triangle_Data!F8/Triangle_Data!E8</f>
        <v>1.0353224511640353</v>
      </c>
      <c r="F11" s="57">
        <f>Triangle_Data!G8/Triangle_Data!F8</f>
        <v>1.0147324890152494</v>
      </c>
      <c r="G11" s="57">
        <f>Triangle_Data!H8/Triangle_Data!G8</f>
        <v>1.0038206826286296</v>
      </c>
      <c r="H11" s="57">
        <f>Triangle_Data!I8/Triangle_Data!H8</f>
        <v>1.0020299416391778</v>
      </c>
      <c r="I11" s="57">
        <f>Triangle_Data!J8/Triangle_Data!I8</f>
        <v>1.0005064573309699</v>
      </c>
      <c r="J11" s="58"/>
      <c r="K11" s="1"/>
    </row>
    <row r="12" spans="1:11" x14ac:dyDescent="0.3">
      <c r="A12" s="17" t="str">
        <f>Triangle_Data!A9</f>
        <v>2015</v>
      </c>
      <c r="B12" s="57">
        <f>Triangle_Data!C9/Triangle_Data!B9</f>
        <v>1.4687346134908912</v>
      </c>
      <c r="C12" s="57">
        <f>Triangle_Data!D9/Triangle_Data!C9</f>
        <v>1.1340931947703654</v>
      </c>
      <c r="D12" s="57">
        <f>Triangle_Data!E9/Triangle_Data!D9</f>
        <v>1.0736033106710021</v>
      </c>
      <c r="E12" s="57">
        <f>Triangle_Data!F9/Triangle_Data!E9</f>
        <v>1.025330396475771</v>
      </c>
      <c r="F12" s="57">
        <f>Triangle_Data!G9/Triangle_Data!F9</f>
        <v>1.0139634801288937</v>
      </c>
      <c r="G12" s="57">
        <f>Triangle_Data!H9/Triangle_Data!G9</f>
        <v>1.0002648305084745</v>
      </c>
      <c r="H12" s="57">
        <f>Triangle_Data!I9/Triangle_Data!H9</f>
        <v>1.0039714058776807</v>
      </c>
      <c r="I12" s="58"/>
      <c r="J12" s="58"/>
      <c r="K12" s="1"/>
    </row>
    <row r="13" spans="1:11" x14ac:dyDescent="0.3">
      <c r="A13" s="17" t="str">
        <f>Triangle_Data!A10</f>
        <v>2016</v>
      </c>
      <c r="B13" s="57">
        <f>Triangle_Data!C10/Triangle_Data!B10</f>
        <v>1.8719827586206896</v>
      </c>
      <c r="C13" s="57">
        <f>Triangle_Data!D10/Triangle_Data!C10</f>
        <v>1.1505871517384296</v>
      </c>
      <c r="D13" s="57">
        <f>Triangle_Data!E10/Triangle_Data!D10</f>
        <v>1.044226535921553</v>
      </c>
      <c r="E13" s="57">
        <f>Triangle_Data!F10/Triangle_Data!E10</f>
        <v>1.0341126868532005</v>
      </c>
      <c r="F13" s="57">
        <f>Triangle_Data!G10/Triangle_Data!F10</f>
        <v>1.0074128984432913</v>
      </c>
      <c r="G13" s="57">
        <f>Triangle_Data!H10/Triangle_Data!G10</f>
        <v>1.0066225165562914</v>
      </c>
      <c r="H13" s="58"/>
      <c r="I13" s="58"/>
      <c r="J13" s="58"/>
      <c r="K13" s="1"/>
    </row>
    <row r="14" spans="1:11" x14ac:dyDescent="0.3">
      <c r="A14" s="17" t="str">
        <f>Triangle_Data!A11</f>
        <v>2017</v>
      </c>
      <c r="B14" s="57">
        <f>Triangle_Data!C11/Triangle_Data!B11</f>
        <v>1.4093617021276597</v>
      </c>
      <c r="C14" s="57">
        <f>Triangle_Data!D11/Triangle_Data!C11</f>
        <v>1.1724033816425121</v>
      </c>
      <c r="D14" s="57">
        <f>Triangle_Data!E11/Triangle_Data!D11</f>
        <v>1.0517640999227402</v>
      </c>
      <c r="E14" s="57">
        <f>Triangle_Data!F11/Triangle_Data!E11</f>
        <v>1.023996082272282</v>
      </c>
      <c r="F14" s="57">
        <f>Triangle_Data!G11/Triangle_Data!F11</f>
        <v>1.0112386417981827</v>
      </c>
      <c r="G14" s="58"/>
      <c r="H14" s="58"/>
      <c r="I14" s="58"/>
      <c r="J14" s="58"/>
      <c r="K14" s="1"/>
    </row>
    <row r="15" spans="1:11" x14ac:dyDescent="0.3">
      <c r="A15" s="17" t="str">
        <f>Triangle_Data!A12</f>
        <v>2018</v>
      </c>
      <c r="B15" s="57">
        <f>Triangle_Data!C12/Triangle_Data!B12</f>
        <v>1.633186166298749</v>
      </c>
      <c r="C15" s="57">
        <f>Triangle_Data!D12/Triangle_Data!C12</f>
        <v>1.1045280468574004</v>
      </c>
      <c r="D15" s="57">
        <f>Triangle_Data!E12/Triangle_Data!D12</f>
        <v>1.0605751580664899</v>
      </c>
      <c r="E15" s="57">
        <f>Triangle_Data!F12/Triangle_Data!E12</f>
        <v>1.0326923076923078</v>
      </c>
      <c r="F15" s="58"/>
      <c r="G15" s="58"/>
      <c r="H15" s="58"/>
      <c r="I15" s="58"/>
      <c r="J15" s="58"/>
      <c r="K15" s="1"/>
    </row>
    <row r="16" spans="1:11" x14ac:dyDescent="0.3">
      <c r="A16" s="17" t="str">
        <f>Triangle_Data!A13</f>
        <v>2019</v>
      </c>
      <c r="B16" s="57">
        <f>Triangle_Data!C13/Triangle_Data!B13</f>
        <v>1.4798967170785688</v>
      </c>
      <c r="C16" s="57">
        <f>Triangle_Data!D13/Triangle_Data!C13</f>
        <v>1.1144067796610169</v>
      </c>
      <c r="D16" s="57">
        <f>Triangle_Data!E13/Triangle_Data!D13</f>
        <v>1.0521136211138449</v>
      </c>
      <c r="E16" s="58"/>
      <c r="F16" s="58"/>
      <c r="G16" s="58"/>
      <c r="H16" s="58"/>
      <c r="I16" s="58"/>
      <c r="J16" s="58"/>
      <c r="K16" s="1"/>
    </row>
    <row r="17" spans="1:11" x14ac:dyDescent="0.3">
      <c r="A17" s="17" t="str">
        <f>Triangle_Data!A14</f>
        <v>2020</v>
      </c>
      <c r="B17" s="57">
        <f>Triangle_Data!C14/Triangle_Data!B14</f>
        <v>1.526115530958146</v>
      </c>
      <c r="C17" s="57">
        <f>Triangle_Data!D14/Triangle_Data!C14</f>
        <v>1.1572982774252041</v>
      </c>
      <c r="D17" s="58"/>
      <c r="E17" s="58"/>
      <c r="F17" s="58"/>
      <c r="G17" s="58"/>
      <c r="H17" s="58"/>
      <c r="I17" s="58"/>
      <c r="J17" s="58"/>
      <c r="K17" s="1"/>
    </row>
    <row r="18" spans="1:11" x14ac:dyDescent="0.3">
      <c r="A18" s="17" t="str">
        <f>Triangle_Data!A15</f>
        <v>2021</v>
      </c>
      <c r="B18" s="57">
        <f>Triangle_Data!C15/Triangle_Data!B15</f>
        <v>1.4412685982772122</v>
      </c>
      <c r="C18" s="58"/>
      <c r="D18" s="58"/>
      <c r="E18" s="58"/>
      <c r="F18" s="58"/>
      <c r="G18" s="58"/>
      <c r="H18" s="58"/>
      <c r="I18" s="58"/>
      <c r="J18" s="58"/>
      <c r="K18" s="1"/>
    </row>
    <row r="19" spans="1:11" x14ac:dyDescent="0.3">
      <c r="A19" s="17" t="str">
        <f>Triangle_Data!A16</f>
        <v>2022</v>
      </c>
      <c r="B19" s="58"/>
      <c r="C19" s="58"/>
      <c r="D19" s="58"/>
      <c r="E19" s="58"/>
      <c r="F19" s="58"/>
      <c r="G19" s="58"/>
      <c r="H19" s="58"/>
      <c r="I19" s="58"/>
      <c r="J19" s="58"/>
      <c r="K19" s="1"/>
    </row>
    <row r="20" spans="1:11" x14ac:dyDescent="0.3">
      <c r="A20" s="1"/>
      <c r="B20" s="59" t="s">
        <v>161</v>
      </c>
      <c r="C20" s="59" t="s">
        <v>162</v>
      </c>
      <c r="D20" s="59" t="s">
        <v>163</v>
      </c>
      <c r="E20" s="59" t="s">
        <v>164</v>
      </c>
      <c r="F20" s="59" t="s">
        <v>165</v>
      </c>
      <c r="G20" s="59" t="s">
        <v>166</v>
      </c>
      <c r="H20" s="59" t="s">
        <v>167</v>
      </c>
      <c r="I20" s="59" t="s">
        <v>168</v>
      </c>
      <c r="J20" s="59" t="s">
        <v>169</v>
      </c>
      <c r="K20" s="59" t="s">
        <v>170</v>
      </c>
    </row>
    <row r="21" spans="1:11" x14ac:dyDescent="0.3">
      <c r="A21" s="8" t="s">
        <v>193</v>
      </c>
      <c r="B21" s="57">
        <f>AVERAGE(B10:B18)</f>
        <v>1.5351797773716416</v>
      </c>
      <c r="C21" s="57">
        <f>AVERAGE(C10:C17)</f>
        <v>1.1387225460698081</v>
      </c>
      <c r="D21" s="57">
        <f>AVERAGE(D10:D16)</f>
        <v>1.0572283692769744</v>
      </c>
      <c r="E21" s="57">
        <f>AVERAGE(E10:E15)</f>
        <v>1.0298533574824835</v>
      </c>
      <c r="F21" s="57">
        <f>AVERAGE(F10:F14)</f>
        <v>1.0116405830755604</v>
      </c>
      <c r="G21" s="57">
        <f>AVERAGE(G10:G13)</f>
        <v>1.0034824197944829</v>
      </c>
      <c r="H21" s="57">
        <f>AVERAGE(H10:H12)</f>
        <v>1.0032136083815919</v>
      </c>
      <c r="I21" s="57">
        <f>AVERAGE(I10:I11)</f>
        <v>1.0008931604060993</v>
      </c>
      <c r="J21" s="57">
        <f>AVERAGE(J10:J10)</f>
        <v>1.0010651896037495</v>
      </c>
      <c r="K21" s="57"/>
    </row>
    <row r="22" spans="1:11" x14ac:dyDescent="0.3">
      <c r="A22" s="8" t="s">
        <v>194</v>
      </c>
      <c r="B22" s="57">
        <f>SUM(Triangle_Data!C7:C15)/SUM(Triangle_Data!B7:B15)</f>
        <v>1.5359447628503091</v>
      </c>
      <c r="C22" s="57">
        <f>SUM(Triangle_Data!D7:D14)/SUM(Triangle_Data!C7:C14)</f>
        <v>1.1363247018514857</v>
      </c>
      <c r="D22" s="57">
        <f>SUM(Triangle_Data!E7:E13)/SUM(Triangle_Data!D7:D13)</f>
        <v>1.0568638126999252</v>
      </c>
      <c r="E22" s="57">
        <f>SUM(Triangle_Data!F7:F12)/SUM(Triangle_Data!E7:E12)</f>
        <v>1.030129397032596</v>
      </c>
      <c r="F22" s="57">
        <f>SUM(Triangle_Data!G7:G11)/SUM(Triangle_Data!F7:F11)</f>
        <v>1.0112963218074116</v>
      </c>
      <c r="G22" s="57">
        <f>SUM(Triangle_Data!H7:H10)/SUM(Triangle_Data!G7:G10)</f>
        <v>1.0037653141508374</v>
      </c>
      <c r="H22" s="57">
        <f>SUM(Triangle_Data!I7:I9)/SUM(Triangle_Data!H7:H9)</f>
        <v>1.0032286705948825</v>
      </c>
      <c r="I22" s="57">
        <f>SUM(Triangle_Data!J7:J8)/SUM(Triangle_Data!I7:I8)</f>
        <v>1.000926247539655</v>
      </c>
      <c r="J22" s="57">
        <f>SUM(Triangle_Data!K7:K7)/SUM(Triangle_Data!J7:J7)</f>
        <v>1.0010651896037495</v>
      </c>
      <c r="K22" s="57"/>
    </row>
    <row r="23" spans="1:11" x14ac:dyDescent="0.3">
      <c r="A23" s="8" t="s">
        <v>195</v>
      </c>
      <c r="B23" s="57">
        <f>SUM(Triangle_Data!C11:C15)/SUM(Triangle_Data!B11:B15)</f>
        <v>1.5015124016938899</v>
      </c>
      <c r="C23" s="57">
        <f>SUM(Triangle_Data!D10:D14)/SUM(Triangle_Data!C10:C14)</f>
        <v>1.1385125255872892</v>
      </c>
      <c r="D23" s="57">
        <f>SUM(Triangle_Data!E9:E13)/SUM(Triangle_Data!D9:D13)</f>
        <v>1.0555067708092618</v>
      </c>
      <c r="E23" s="57">
        <f>SUM(Triangle_Data!F8:F12)/SUM(Triangle_Data!E8:E12)</f>
        <v>1.0306341731059394</v>
      </c>
      <c r="F23" s="57">
        <f>SUM(Triangle_Data!G7:G11)/SUM(Triangle_Data!F7:F11)</f>
        <v>1.0112963218074116</v>
      </c>
      <c r="G23" s="57">
        <f>SUM(Triangle_Data!H7:H10)/SUM(Triangle_Data!G7:G10)</f>
        <v>1.0037653141508374</v>
      </c>
      <c r="H23" s="57">
        <f>SUM(Triangle_Data!I7:I9)/SUM(Triangle_Data!H7:H9)</f>
        <v>1.0032286705948825</v>
      </c>
      <c r="I23" s="57">
        <f>SUM(Triangle_Data!J7:J8)/SUM(Triangle_Data!I7:I8)</f>
        <v>1.000926247539655</v>
      </c>
      <c r="J23" s="57">
        <f>SUM(Triangle_Data!K7:K7)/SUM(Triangle_Data!J7:J7)</f>
        <v>1.0010651896037495</v>
      </c>
      <c r="K23" s="57"/>
    </row>
    <row r="24" spans="1:11" x14ac:dyDescent="0.3">
      <c r="A24" s="8" t="s">
        <v>196</v>
      </c>
      <c r="B24" s="57">
        <f>SUM(Triangle_Data!C13:C15)/SUM(Triangle_Data!B13:B15)</f>
        <v>1.4841834232466895</v>
      </c>
      <c r="C24" s="57">
        <f>SUM(Triangle_Data!D12:D14)/SUM(Triangle_Data!C12:C14)</f>
        <v>1.1257093990515432</v>
      </c>
      <c r="D24" s="57">
        <f>SUM(Triangle_Data!E11:E13)/SUM(Triangle_Data!D11:D13)</f>
        <v>1.055140680395263</v>
      </c>
      <c r="E24" s="57">
        <f>SUM(Triangle_Data!F10:F12)/SUM(Triangle_Data!E10:E12)</f>
        <v>1.0307543787063853</v>
      </c>
      <c r="F24" s="57">
        <f>SUM(Triangle_Data!G9:G11)/SUM(Triangle_Data!F9:F11)</f>
        <v>1.0104495564576756</v>
      </c>
      <c r="G24" s="57">
        <f>SUM(Triangle_Data!H8:H10)/SUM(Triangle_Data!G8:G10)</f>
        <v>1.0039579844725224</v>
      </c>
      <c r="H24" s="57">
        <f>SUM(Triangle_Data!I7:I9)/SUM(Triangle_Data!H7:H9)</f>
        <v>1.0032286705948825</v>
      </c>
      <c r="I24" s="57">
        <f>SUM(Triangle_Data!J7:J8)/SUM(Triangle_Data!I7:I8)</f>
        <v>1.000926247539655</v>
      </c>
      <c r="J24" s="57">
        <f>SUM(Triangle_Data!K7:K7)/SUM(Triangle_Data!J7:J7)</f>
        <v>1.0010651896037495</v>
      </c>
      <c r="K24" s="57"/>
    </row>
    <row r="25" spans="1:11" x14ac:dyDescent="0.3">
      <c r="A25" s="6" t="s">
        <v>197</v>
      </c>
      <c r="B25" s="60">
        <f t="shared" ref="B25:J25" si="0">CHOOSE($B$4,B21,B22,B23,B24)</f>
        <v>1.5359447628503091</v>
      </c>
      <c r="C25" s="60">
        <f t="shared" si="0"/>
        <v>1.1363247018514857</v>
      </c>
      <c r="D25" s="60">
        <f t="shared" si="0"/>
        <v>1.0568638126999252</v>
      </c>
      <c r="E25" s="60">
        <f t="shared" si="0"/>
        <v>1.030129397032596</v>
      </c>
      <c r="F25" s="60">
        <f t="shared" si="0"/>
        <v>1.0112963218074116</v>
      </c>
      <c r="G25" s="60">
        <f t="shared" si="0"/>
        <v>1.0037653141508374</v>
      </c>
      <c r="H25" s="60">
        <f t="shared" si="0"/>
        <v>1.0032286705948825</v>
      </c>
      <c r="I25" s="60">
        <f t="shared" si="0"/>
        <v>1.000926247539655</v>
      </c>
      <c r="J25" s="60">
        <f t="shared" si="0"/>
        <v>1.0010651896037495</v>
      </c>
      <c r="K25" s="61">
        <f>$B$5</f>
        <v>1</v>
      </c>
    </row>
    <row r="26" spans="1:11" x14ac:dyDescent="0.3">
      <c r="A26" s="6" t="s">
        <v>198</v>
      </c>
      <c r="B26" s="60">
        <f t="shared" ref="B26:J26" si="1">B25*C26</f>
        <v>1.9389376265889029</v>
      </c>
      <c r="C26" s="60">
        <f t="shared" si="1"/>
        <v>1.2623745810954459</v>
      </c>
      <c r="D26" s="60">
        <f t="shared" si="1"/>
        <v>1.1109276943804698</v>
      </c>
      <c r="E26" s="60">
        <f t="shared" si="1"/>
        <v>1.0511550126240294</v>
      </c>
      <c r="F26" s="60">
        <f t="shared" si="1"/>
        <v>1.0204106548672429</v>
      </c>
      <c r="G26" s="60">
        <f t="shared" si="1"/>
        <v>1.0090125246807404</v>
      </c>
      <c r="H26" s="60">
        <f t="shared" si="1"/>
        <v>1.0052275272475839</v>
      </c>
      <c r="I26" s="60">
        <f t="shared" si="1"/>
        <v>1.0019924237726541</v>
      </c>
      <c r="J26" s="60">
        <f t="shared" si="1"/>
        <v>1.0010651896037495</v>
      </c>
      <c r="K26" s="60">
        <f>K25</f>
        <v>1</v>
      </c>
    </row>
    <row r="27" spans="1:11" x14ac:dyDescent="0.3">
      <c r="A27" s="6" t="s">
        <v>199</v>
      </c>
      <c r="B27" s="39">
        <f t="shared" ref="B27:K27" si="2">IF(B26=0,0,1/B26)</f>
        <v>0.51574634804486252</v>
      </c>
      <c r="C27" s="39">
        <f t="shared" si="2"/>
        <v>0.79215790223867932</v>
      </c>
      <c r="D27" s="39">
        <f t="shared" si="2"/>
        <v>0.90014859208066578</v>
      </c>
      <c r="E27" s="39">
        <f t="shared" si="2"/>
        <v>0.95133447302284213</v>
      </c>
      <c r="F27" s="39">
        <f t="shared" si="2"/>
        <v>0.97999760707134287</v>
      </c>
      <c r="G27" s="39">
        <f t="shared" si="2"/>
        <v>0.99106797541131408</v>
      </c>
      <c r="H27" s="39">
        <f t="shared" si="2"/>
        <v>0.99479965768357204</v>
      </c>
      <c r="I27" s="39">
        <f t="shared" si="2"/>
        <v>0.99801153808613408</v>
      </c>
      <c r="J27" s="39">
        <f t="shared" si="2"/>
        <v>0.99893594381783357</v>
      </c>
      <c r="K27" s="39">
        <f t="shared" si="2"/>
        <v>1</v>
      </c>
    </row>
    <row r="28" spans="1:11" x14ac:dyDescent="0.3">
      <c r="A28" s="1"/>
      <c r="B28" s="1"/>
      <c r="C28" s="1"/>
      <c r="D28" s="1"/>
      <c r="E28" s="1"/>
      <c r="F28" s="1"/>
      <c r="G28" s="1"/>
      <c r="H28" s="1"/>
      <c r="I28" s="1"/>
      <c r="J28" s="1"/>
      <c r="K28" s="1"/>
    </row>
    <row r="29" spans="1:11" ht="15.6" x14ac:dyDescent="0.3">
      <c r="A29" s="56" t="s">
        <v>200</v>
      </c>
      <c r="B29" s="1"/>
      <c r="C29" s="1"/>
      <c r="D29" s="1"/>
      <c r="E29" s="1"/>
      <c r="F29" s="1"/>
      <c r="G29" s="1"/>
      <c r="H29" s="1"/>
      <c r="I29" s="1"/>
      <c r="J29" s="1"/>
      <c r="K29" s="1"/>
    </row>
    <row r="30" spans="1:11" ht="31.95" customHeight="1" x14ac:dyDescent="0.3">
      <c r="A30" s="12" t="s">
        <v>160</v>
      </c>
      <c r="B30" s="12" t="s">
        <v>183</v>
      </c>
      <c r="C30" s="12" t="s">
        <v>184</v>
      </c>
      <c r="D30" s="12" t="s">
        <v>185</v>
      </c>
      <c r="E30" s="12" t="s">
        <v>186</v>
      </c>
      <c r="F30" s="12" t="s">
        <v>187</v>
      </c>
      <c r="G30" s="12" t="s">
        <v>188</v>
      </c>
      <c r="H30" s="12" t="s">
        <v>189</v>
      </c>
      <c r="I30" s="12" t="s">
        <v>190</v>
      </c>
      <c r="J30" s="12" t="s">
        <v>191</v>
      </c>
      <c r="K30" s="12" t="s">
        <v>192</v>
      </c>
    </row>
    <row r="31" spans="1:11" x14ac:dyDescent="0.3">
      <c r="A31" s="17" t="str">
        <f>Triangle_Data!A20</f>
        <v>2013</v>
      </c>
      <c r="B31" s="57">
        <f>Triangle_Data!C20/Triangle_Data!B20</f>
        <v>1.1471334348046678</v>
      </c>
      <c r="C31" s="57">
        <f>Triangle_Data!D20/Triangle_Data!C20</f>
        <v>1.0367094206103493</v>
      </c>
      <c r="D31" s="57">
        <f>Triangle_Data!E20/Triangle_Data!D20</f>
        <v>1.0142918088737201</v>
      </c>
      <c r="E31" s="57">
        <f>Triangle_Data!F20/Triangle_Data!E20</f>
        <v>0.99200841219768665</v>
      </c>
      <c r="F31" s="57">
        <f>Triangle_Data!G20/Triangle_Data!F20</f>
        <v>0.99788000847996605</v>
      </c>
      <c r="G31" s="57">
        <f>Triangle_Data!H20/Triangle_Data!G20</f>
        <v>0.99808795411089868</v>
      </c>
      <c r="H31" s="57">
        <f>Triangle_Data!I20/Triangle_Data!H20</f>
        <v>0.9997871434653044</v>
      </c>
      <c r="I31" s="57">
        <f>Triangle_Data!J20/Triangle_Data!I20</f>
        <v>1.0004258037044922</v>
      </c>
      <c r="J31" s="57">
        <f>Triangle_Data!K20/Triangle_Data!J20</f>
        <v>1</v>
      </c>
      <c r="K31" s="1"/>
    </row>
    <row r="32" spans="1:11" x14ac:dyDescent="0.3">
      <c r="A32" s="17" t="str">
        <f>Triangle_Data!A21</f>
        <v>2014</v>
      </c>
      <c r="B32" s="57">
        <f>Triangle_Data!C21/Triangle_Data!B21</f>
        <v>1.1741606714628297</v>
      </c>
      <c r="C32" s="57">
        <f>Triangle_Data!D21/Triangle_Data!C21</f>
        <v>0.98570334439622165</v>
      </c>
      <c r="D32" s="57">
        <f>Triangle_Data!E21/Triangle_Data!D21</f>
        <v>1.0155400155400156</v>
      </c>
      <c r="E32" s="57">
        <f>Triangle_Data!F21/Triangle_Data!E21</f>
        <v>1.0119867380770211</v>
      </c>
      <c r="F32" s="57">
        <f>Triangle_Data!G21/Triangle_Data!F21</f>
        <v>1.003024193548387</v>
      </c>
      <c r="G32" s="57">
        <f>Triangle_Data!H21/Triangle_Data!G21</f>
        <v>0.99246231155778897</v>
      </c>
      <c r="H32" s="57">
        <f>Triangle_Data!I21/Triangle_Data!H21</f>
        <v>1.0007594936708861</v>
      </c>
      <c r="I32" s="57">
        <f>Triangle_Data!J21/Triangle_Data!I21</f>
        <v>1.0005059448520111</v>
      </c>
      <c r="J32" s="58"/>
      <c r="K32" s="1"/>
    </row>
    <row r="33" spans="1:11" x14ac:dyDescent="0.3">
      <c r="A33" s="17" t="str">
        <f>Triangle_Data!A22</f>
        <v>2015</v>
      </c>
      <c r="B33" s="57">
        <f>Triangle_Data!C22/Triangle_Data!B22</f>
        <v>1.1408901697086136</v>
      </c>
      <c r="C33" s="57">
        <f>Triangle_Data!D22/Triangle_Data!C22</f>
        <v>1.0609037328094302</v>
      </c>
      <c r="D33" s="57">
        <f>Triangle_Data!E22/Triangle_Data!D22</f>
        <v>0.99550264550264556</v>
      </c>
      <c r="E33" s="57">
        <f>Triangle_Data!F22/Triangle_Data!E22</f>
        <v>1.0026574541589157</v>
      </c>
      <c r="F33" s="57">
        <f>Triangle_Data!G22/Triangle_Data!F22</f>
        <v>1.0079512324410285</v>
      </c>
      <c r="G33" s="57">
        <f>Triangle_Data!H22/Triangle_Data!G22</f>
        <v>0.99763344727846437</v>
      </c>
      <c r="H33" s="57">
        <f>Triangle_Data!I22/Triangle_Data!H22</f>
        <v>1.0010542962572482</v>
      </c>
      <c r="I33" s="58"/>
      <c r="J33" s="58"/>
      <c r="K33" s="1"/>
    </row>
    <row r="34" spans="1:11" x14ac:dyDescent="0.3">
      <c r="A34" s="17" t="str">
        <f>Triangle_Data!A23</f>
        <v>2016</v>
      </c>
      <c r="B34" s="57">
        <f>Triangle_Data!C23/Triangle_Data!B23</f>
        <v>1.1534288194444444</v>
      </c>
      <c r="C34" s="57">
        <f>Triangle_Data!D23/Triangle_Data!C23</f>
        <v>1.0118532455315146</v>
      </c>
      <c r="D34" s="57">
        <f>Triangle_Data!E23/Triangle_Data!D23</f>
        <v>1.0124581628858311</v>
      </c>
      <c r="E34" s="57">
        <f>Triangle_Data!F23/Triangle_Data!E23</f>
        <v>1.0062442607897153</v>
      </c>
      <c r="F34" s="57">
        <f>Triangle_Data!G23/Triangle_Data!F23</f>
        <v>1.0043803613798139</v>
      </c>
      <c r="G34" s="57">
        <f>Triangle_Data!H23/Triangle_Data!G23</f>
        <v>0.99618389969107757</v>
      </c>
      <c r="H34" s="58"/>
      <c r="I34" s="58"/>
      <c r="J34" s="58"/>
      <c r="K34" s="1"/>
    </row>
    <row r="35" spans="1:11" x14ac:dyDescent="0.3">
      <c r="A35" s="17" t="str">
        <f>Triangle_Data!A24</f>
        <v>2017</v>
      </c>
      <c r="B35" s="57">
        <f>Triangle_Data!C24/Triangle_Data!B24</f>
        <v>1.1319712865819989</v>
      </c>
      <c r="C35" s="57">
        <f>Triangle_Data!D24/Triangle_Data!C24</f>
        <v>1.051219512195122</v>
      </c>
      <c r="D35" s="57">
        <f>Triangle_Data!E24/Triangle_Data!D24</f>
        <v>0.97819025522041758</v>
      </c>
      <c r="E35" s="57">
        <f>Triangle_Data!F24/Triangle_Data!E24</f>
        <v>1.0166034155597723</v>
      </c>
      <c r="F35" s="57">
        <f>Triangle_Data!G24/Triangle_Data!F24</f>
        <v>1.0004666355576295</v>
      </c>
      <c r="G35" s="58"/>
      <c r="H35" s="58"/>
      <c r="I35" s="58"/>
      <c r="J35" s="58"/>
      <c r="K35" s="1"/>
    </row>
    <row r="36" spans="1:11" x14ac:dyDescent="0.3">
      <c r="A36" s="17" t="str">
        <f>Triangle_Data!A25</f>
        <v>2018</v>
      </c>
      <c r="B36" s="57">
        <f>Triangle_Data!C25/Triangle_Data!B25</f>
        <v>1.2728535061328397</v>
      </c>
      <c r="C36" s="57">
        <f>Triangle_Data!D25/Triangle_Data!C25</f>
        <v>0.96945454545454546</v>
      </c>
      <c r="D36" s="57">
        <f>Triangle_Data!E25/Triangle_Data!D25</f>
        <v>1.0185671417854463</v>
      </c>
      <c r="E36" s="57">
        <f>Triangle_Data!F25/Triangle_Data!E25</f>
        <v>1.0176763027066837</v>
      </c>
      <c r="F36" s="58"/>
      <c r="G36" s="58"/>
      <c r="H36" s="58"/>
      <c r="I36" s="58"/>
      <c r="J36" s="58"/>
      <c r="K36" s="1"/>
    </row>
    <row r="37" spans="1:11" x14ac:dyDescent="0.3">
      <c r="A37" s="17" t="str">
        <f>Triangle_Data!A26</f>
        <v>2019</v>
      </c>
      <c r="B37" s="57">
        <f>Triangle_Data!C26/Triangle_Data!B26</f>
        <v>1.1043575418994414</v>
      </c>
      <c r="C37" s="57">
        <f>Triangle_Data!D26/Triangle_Data!C26</f>
        <v>1.0084985835694051</v>
      </c>
      <c r="D37" s="57">
        <f>Triangle_Data!E26/Triangle_Data!D26</f>
        <v>0.9967897271268058</v>
      </c>
      <c r="E37" s="58"/>
      <c r="F37" s="58"/>
      <c r="G37" s="58"/>
      <c r="H37" s="58"/>
      <c r="I37" s="58"/>
      <c r="J37" s="58"/>
      <c r="K37" s="1"/>
    </row>
    <row r="38" spans="1:11" x14ac:dyDescent="0.3">
      <c r="A38" s="17" t="str">
        <f>Triangle_Data!A27</f>
        <v>2020</v>
      </c>
      <c r="B38" s="57">
        <f>Triangle_Data!C27/Triangle_Data!B27</f>
        <v>1.3339891785538613</v>
      </c>
      <c r="C38" s="57">
        <f>Triangle_Data!D27/Triangle_Data!C27</f>
        <v>1.0368731563421829</v>
      </c>
      <c r="D38" s="58"/>
      <c r="E38" s="58"/>
      <c r="F38" s="58"/>
      <c r="G38" s="58"/>
      <c r="H38" s="58"/>
      <c r="I38" s="58"/>
      <c r="J38" s="58"/>
      <c r="K38" s="1"/>
    </row>
    <row r="39" spans="1:11" x14ac:dyDescent="0.3">
      <c r="A39" s="17" t="str">
        <f>Triangle_Data!A28</f>
        <v>2021</v>
      </c>
      <c r="B39" s="57">
        <f>Triangle_Data!C28/Triangle_Data!B28</f>
        <v>1.153066528066528</v>
      </c>
      <c r="C39" s="58"/>
      <c r="D39" s="58"/>
      <c r="E39" s="58"/>
      <c r="F39" s="58"/>
      <c r="G39" s="58"/>
      <c r="H39" s="58"/>
      <c r="I39" s="58"/>
      <c r="J39" s="58"/>
      <c r="K39" s="1"/>
    </row>
    <row r="40" spans="1:11" x14ac:dyDescent="0.3">
      <c r="A40" s="17" t="str">
        <f>Triangle_Data!A29</f>
        <v>2022</v>
      </c>
      <c r="B40" s="58"/>
      <c r="C40" s="58"/>
      <c r="D40" s="58"/>
      <c r="E40" s="58"/>
      <c r="F40" s="58"/>
      <c r="G40" s="58"/>
      <c r="H40" s="58"/>
      <c r="I40" s="58"/>
      <c r="J40" s="58"/>
      <c r="K40" s="1"/>
    </row>
    <row r="41" spans="1:11" x14ac:dyDescent="0.3">
      <c r="A41" s="1"/>
      <c r="B41" s="59" t="s">
        <v>161</v>
      </c>
      <c r="C41" s="59" t="s">
        <v>162</v>
      </c>
      <c r="D41" s="59" t="s">
        <v>163</v>
      </c>
      <c r="E41" s="59" t="s">
        <v>164</v>
      </c>
      <c r="F41" s="59" t="s">
        <v>165</v>
      </c>
      <c r="G41" s="59" t="s">
        <v>166</v>
      </c>
      <c r="H41" s="59" t="s">
        <v>167</v>
      </c>
      <c r="I41" s="59" t="s">
        <v>168</v>
      </c>
      <c r="J41" s="59" t="s">
        <v>169</v>
      </c>
      <c r="K41" s="59" t="s">
        <v>170</v>
      </c>
    </row>
    <row r="42" spans="1:11" x14ac:dyDescent="0.3">
      <c r="A42" s="8" t="s">
        <v>193</v>
      </c>
      <c r="B42" s="57">
        <f>AVERAGE(B31:B39)</f>
        <v>1.1790945707394695</v>
      </c>
      <c r="C42" s="57">
        <f>AVERAGE(C31:C38)</f>
        <v>1.0201519426135963</v>
      </c>
      <c r="D42" s="57">
        <f>AVERAGE(D31:D37)</f>
        <v>1.0044771081335546</v>
      </c>
      <c r="E42" s="57">
        <f>AVERAGE(E31:E36)</f>
        <v>1.007862763914966</v>
      </c>
      <c r="F42" s="57">
        <f>AVERAGE(F31:F35)</f>
        <v>1.0027404862813651</v>
      </c>
      <c r="G42" s="57">
        <f>AVERAGE(G31:G34)</f>
        <v>0.99609190315955742</v>
      </c>
      <c r="H42" s="57">
        <f>AVERAGE(H31:H33)</f>
        <v>1.0005336444644797</v>
      </c>
      <c r="I42" s="57">
        <f>AVERAGE(I31:I32)</f>
        <v>1.0004658742782517</v>
      </c>
      <c r="J42" s="57">
        <f>AVERAGE(J31:J31)</f>
        <v>1</v>
      </c>
      <c r="K42" s="57"/>
    </row>
    <row r="43" spans="1:11" x14ac:dyDescent="0.3">
      <c r="A43" s="8" t="s">
        <v>194</v>
      </c>
      <c r="B43" s="57">
        <f>SUM(Triangle_Data!C20:C28)/SUM(Triangle_Data!B20:B28)</f>
        <v>1.1804985710647691</v>
      </c>
      <c r="C43" s="57">
        <f>SUM(Triangle_Data!D20:D27)/SUM(Triangle_Data!C20:C27)</f>
        <v>1.0180779443714294</v>
      </c>
      <c r="D43" s="57">
        <f>SUM(Triangle_Data!E20:E26)/SUM(Triangle_Data!D20:D26)</f>
        <v>1.0051340735471499</v>
      </c>
      <c r="E43" s="57">
        <f>SUM(Triangle_Data!F20:F25)/SUM(Triangle_Data!E20:E25)</f>
        <v>1.0079546692819004</v>
      </c>
      <c r="F43" s="57">
        <f>SUM(Triangle_Data!G20:G24)/SUM(Triangle_Data!F20:F24)</f>
        <v>1.0026099086531972</v>
      </c>
      <c r="G43" s="57">
        <f>SUM(Triangle_Data!H20:H23)/SUM(Triangle_Data!G20:G23)</f>
        <v>0.99616517534596782</v>
      </c>
      <c r="H43" s="57">
        <f>SUM(Triangle_Data!I20:I22)/SUM(Triangle_Data!H20:H22)</f>
        <v>1.0004822375823823</v>
      </c>
      <c r="I43" s="57">
        <f>SUM(Triangle_Data!J20:J21)/SUM(Triangle_Data!I20:I21)</f>
        <v>1.0004624277456649</v>
      </c>
      <c r="J43" s="57">
        <f>SUM(Triangle_Data!K20:K20)/SUM(Triangle_Data!J20:J20)</f>
        <v>1</v>
      </c>
      <c r="K43" s="57"/>
    </row>
    <row r="44" spans="1:11" x14ac:dyDescent="0.3">
      <c r="A44" s="8" t="s">
        <v>195</v>
      </c>
      <c r="B44" s="57">
        <f>SUM(Triangle_Data!C24:C28)/SUM(Triangle_Data!B24:B28)</f>
        <v>1.2002262443438914</v>
      </c>
      <c r="C44" s="57">
        <f>SUM(Triangle_Data!D23:D27)/SUM(Triangle_Data!C23:C27)</f>
        <v>1.0137257228748864</v>
      </c>
      <c r="D44" s="57">
        <f>SUM(Triangle_Data!E22:E26)/SUM(Triangle_Data!D22:D26)</f>
        <v>1.0016397578203835</v>
      </c>
      <c r="E44" s="57">
        <f>SUM(Triangle_Data!F21:F25)/SUM(Triangle_Data!E21:E25)</f>
        <v>1.0112838075166841</v>
      </c>
      <c r="F44" s="57">
        <f>SUM(Triangle_Data!G20:G24)/SUM(Triangle_Data!F20:F24)</f>
        <v>1.0026099086531972</v>
      </c>
      <c r="G44" s="57">
        <f>SUM(Triangle_Data!H20:H23)/SUM(Triangle_Data!G20:G23)</f>
        <v>0.99616517534596782</v>
      </c>
      <c r="H44" s="57">
        <f>SUM(Triangle_Data!I20:I22)/SUM(Triangle_Data!H20:H22)</f>
        <v>1.0004822375823823</v>
      </c>
      <c r="I44" s="57">
        <f>SUM(Triangle_Data!J20:J21)/SUM(Triangle_Data!I20:I21)</f>
        <v>1.0004624277456649</v>
      </c>
      <c r="J44" s="57">
        <f>SUM(Triangle_Data!K20:K20)/SUM(Triangle_Data!J20:J20)</f>
        <v>1</v>
      </c>
      <c r="K44" s="57"/>
    </row>
    <row r="45" spans="1:11" x14ac:dyDescent="0.3">
      <c r="A45" s="8" t="s">
        <v>196</v>
      </c>
      <c r="B45" s="57">
        <f>SUM(Triangle_Data!C26:C28)/SUM(Triangle_Data!B26:B28)</f>
        <v>1.1948502704011623</v>
      </c>
      <c r="C45" s="57">
        <f>SUM(Triangle_Data!D25:D27)/SUM(Triangle_Data!C25:C27)</f>
        <v>1.0046640615151896</v>
      </c>
      <c r="D45" s="57">
        <f>SUM(Triangle_Data!E24:E26)/SUM(Triangle_Data!D24:D26)</f>
        <v>0.99924791467250107</v>
      </c>
      <c r="E45" s="57">
        <f>SUM(Triangle_Data!F23:F25)/SUM(Triangle_Data!E23:E25)</f>
        <v>1.0132520540683807</v>
      </c>
      <c r="F45" s="57">
        <f>SUM(Triangle_Data!G22:G24)/SUM(Triangle_Data!F22:F24)</f>
        <v>1.0041365046535677</v>
      </c>
      <c r="G45" s="57">
        <f>SUM(Triangle_Data!H21:H23)/SUM(Triangle_Data!G21:G23)</f>
        <v>0.9954839680867078</v>
      </c>
      <c r="H45" s="57">
        <f>SUM(Triangle_Data!I20:I22)/SUM(Triangle_Data!H20:H22)</f>
        <v>1.0004822375823823</v>
      </c>
      <c r="I45" s="57">
        <f>SUM(Triangle_Data!J20:J21)/SUM(Triangle_Data!I20:I21)</f>
        <v>1.0004624277456649</v>
      </c>
      <c r="J45" s="57">
        <f>SUM(Triangle_Data!K20:K20)/SUM(Triangle_Data!J20:J20)</f>
        <v>1</v>
      </c>
      <c r="K45" s="57"/>
    </row>
    <row r="46" spans="1:11" x14ac:dyDescent="0.3">
      <c r="A46" s="6" t="s">
        <v>197</v>
      </c>
      <c r="B46" s="60">
        <f t="shared" ref="B46:J46" si="3">CHOOSE($B$4,B42,B43,B44,B45)</f>
        <v>1.1804985710647691</v>
      </c>
      <c r="C46" s="60">
        <f t="shared" si="3"/>
        <v>1.0180779443714294</v>
      </c>
      <c r="D46" s="60">
        <f t="shared" si="3"/>
        <v>1.0051340735471499</v>
      </c>
      <c r="E46" s="60">
        <f t="shared" si="3"/>
        <v>1.0079546692819004</v>
      </c>
      <c r="F46" s="60">
        <f t="shared" si="3"/>
        <v>1.0026099086531972</v>
      </c>
      <c r="G46" s="60">
        <f t="shared" si="3"/>
        <v>0.99616517534596782</v>
      </c>
      <c r="H46" s="60">
        <f t="shared" si="3"/>
        <v>1.0004822375823823</v>
      </c>
      <c r="I46" s="60">
        <f t="shared" si="3"/>
        <v>1.0004624277456649</v>
      </c>
      <c r="J46" s="60">
        <f t="shared" si="3"/>
        <v>1</v>
      </c>
      <c r="K46" s="61">
        <f>$B$6</f>
        <v>1</v>
      </c>
    </row>
    <row r="47" spans="1:11" x14ac:dyDescent="0.3">
      <c r="A47" s="6" t="s">
        <v>198</v>
      </c>
      <c r="B47" s="60">
        <f t="shared" ref="B47:J47" si="4">B46*C47</f>
        <v>1.2172646359576593</v>
      </c>
      <c r="C47" s="60">
        <f t="shared" si="4"/>
        <v>1.0311445229956768</v>
      </c>
      <c r="D47" s="60">
        <f t="shared" si="4"/>
        <v>1.0128345562306773</v>
      </c>
      <c r="E47" s="60">
        <f t="shared" si="4"/>
        <v>1.007661149777116</v>
      </c>
      <c r="F47" s="60">
        <f t="shared" si="4"/>
        <v>0.9997087969194155</v>
      </c>
      <c r="G47" s="60">
        <f t="shared" si="4"/>
        <v>0.9971064401929971</v>
      </c>
      <c r="H47" s="60">
        <f t="shared" si="4"/>
        <v>1.0009448883280851</v>
      </c>
      <c r="I47" s="60">
        <f t="shared" si="4"/>
        <v>1.0004624277456649</v>
      </c>
      <c r="J47" s="60">
        <f t="shared" si="4"/>
        <v>1</v>
      </c>
      <c r="K47" s="60">
        <f>K46</f>
        <v>1</v>
      </c>
    </row>
    <row r="48" spans="1:11" x14ac:dyDescent="0.3">
      <c r="A48" s="6" t="s">
        <v>199</v>
      </c>
      <c r="B48" s="39">
        <f t="shared" ref="B48:K48" si="5">IF(B47=0,0,1/B47)</f>
        <v>0.82151404917244586</v>
      </c>
      <c r="C48" s="39">
        <f t="shared" si="5"/>
        <v>0.96979616115770473</v>
      </c>
      <c r="D48" s="39">
        <f t="shared" si="5"/>
        <v>0.98732808221073942</v>
      </c>
      <c r="E48" s="39">
        <f t="shared" si="5"/>
        <v>0.99239709719997593</v>
      </c>
      <c r="F48" s="39">
        <f t="shared" si="5"/>
        <v>1.0002912879045196</v>
      </c>
      <c r="G48" s="39">
        <f t="shared" si="5"/>
        <v>1.0029019567925395</v>
      </c>
      <c r="H48" s="39">
        <f t="shared" si="5"/>
        <v>0.99905600364305425</v>
      </c>
      <c r="I48" s="39">
        <f t="shared" si="5"/>
        <v>0.9995377859949155</v>
      </c>
      <c r="J48" s="39">
        <f t="shared" si="5"/>
        <v>1</v>
      </c>
      <c r="K48" s="39">
        <f t="shared" si="5"/>
        <v>1</v>
      </c>
    </row>
  </sheetData>
  <pageMargins left="0.75" right="0.75" top="1" bottom="1" header="0.5" footer="0.5"/>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59999389629810485"/>
  </sheetPr>
  <dimension ref="A1:P27"/>
  <sheetViews>
    <sheetView showGridLines="0" workbookViewId="0">
      <pane xSplit="1" ySplit="7" topLeftCell="B8" activePane="bottomRight" state="frozen"/>
      <selection pane="topRight"/>
      <selection pane="bottomLeft"/>
      <selection pane="bottomRight" activeCell="A23" sqref="A23:C23"/>
    </sheetView>
  </sheetViews>
  <sheetFormatPr defaultRowHeight="14.4" x14ac:dyDescent="0.3"/>
  <cols>
    <col min="1" max="16" width="13" customWidth="1"/>
  </cols>
  <sheetData>
    <row r="1" spans="1:16" ht="17.399999999999999" x14ac:dyDescent="0.3">
      <c r="A1" s="2" t="s">
        <v>201</v>
      </c>
      <c r="B1" s="1"/>
      <c r="C1" s="1"/>
      <c r="D1" s="1"/>
      <c r="E1" s="1"/>
      <c r="F1" s="1"/>
      <c r="G1" s="1"/>
      <c r="H1" s="1"/>
      <c r="I1" s="1"/>
      <c r="J1" s="1"/>
      <c r="K1" s="1"/>
      <c r="L1" s="1"/>
      <c r="M1" s="1"/>
      <c r="N1" s="1"/>
      <c r="O1" s="1"/>
      <c r="P1" s="1"/>
    </row>
    <row r="2" spans="1:16" x14ac:dyDescent="0.3">
      <c r="A2" s="3" t="s">
        <v>202</v>
      </c>
      <c r="B2" s="1"/>
      <c r="C2" s="1"/>
      <c r="D2" s="1"/>
      <c r="E2" s="1"/>
      <c r="F2" s="1"/>
      <c r="G2" s="1"/>
      <c r="H2" s="1"/>
      <c r="I2" s="1"/>
      <c r="J2" s="1"/>
      <c r="K2" s="1"/>
      <c r="L2" s="1"/>
      <c r="M2" s="1"/>
      <c r="N2" s="1"/>
      <c r="O2" s="1"/>
      <c r="P2" s="1"/>
    </row>
    <row r="3" spans="1:16" x14ac:dyDescent="0.3">
      <c r="A3" s="1"/>
      <c r="B3" s="1"/>
      <c r="C3" s="1"/>
      <c r="D3" s="1"/>
      <c r="E3" s="1"/>
      <c r="F3" s="1"/>
      <c r="G3" s="1"/>
      <c r="H3" s="1"/>
      <c r="I3" s="1"/>
      <c r="J3" s="1"/>
      <c r="K3" s="1"/>
      <c r="L3" s="1"/>
      <c r="M3" s="1"/>
      <c r="N3" s="1"/>
      <c r="O3" s="1"/>
      <c r="P3" s="1"/>
    </row>
    <row r="4" spans="1:16" x14ac:dyDescent="0.3">
      <c r="A4" s="6" t="s">
        <v>203</v>
      </c>
      <c r="B4" s="1"/>
      <c r="C4" s="1"/>
      <c r="D4" s="11">
        <v>0.62</v>
      </c>
      <c r="E4" s="3" t="s">
        <v>204</v>
      </c>
      <c r="F4" s="1"/>
      <c r="G4" s="1"/>
      <c r="H4" s="1"/>
      <c r="I4" s="1"/>
      <c r="J4" s="1"/>
      <c r="K4" s="1"/>
      <c r="L4" s="1"/>
      <c r="M4" s="1"/>
      <c r="N4" s="1"/>
      <c r="O4" s="1"/>
      <c r="P4" s="1"/>
    </row>
    <row r="5" spans="1:16" x14ac:dyDescent="0.3">
      <c r="A5" s="6" t="s">
        <v>205</v>
      </c>
      <c r="B5" s="1"/>
      <c r="C5" s="1"/>
      <c r="D5" s="54">
        <v>2</v>
      </c>
      <c r="E5" s="3" t="s">
        <v>206</v>
      </c>
      <c r="F5" s="1"/>
      <c r="G5" s="1"/>
      <c r="H5" s="1"/>
      <c r="I5" s="1"/>
      <c r="J5" s="1"/>
      <c r="K5" s="1"/>
      <c r="L5" s="1"/>
      <c r="M5" s="1"/>
      <c r="N5" s="1"/>
      <c r="O5" s="1"/>
      <c r="P5" s="1"/>
    </row>
    <row r="6" spans="1:16" x14ac:dyDescent="0.3">
      <c r="A6" s="1"/>
      <c r="B6" s="1"/>
      <c r="C6" s="1"/>
      <c r="D6" s="1"/>
      <c r="E6" s="1"/>
      <c r="F6" s="1"/>
      <c r="G6" s="1"/>
      <c r="H6" s="1"/>
      <c r="I6" s="1"/>
      <c r="J6" s="1"/>
      <c r="K6" s="1"/>
      <c r="L6" s="1"/>
      <c r="M6" s="1"/>
      <c r="N6" s="1"/>
      <c r="O6" s="1"/>
      <c r="P6" s="1"/>
    </row>
    <row r="7" spans="1:16" ht="31.95" customHeight="1" x14ac:dyDescent="0.3">
      <c r="A7" s="12" t="s">
        <v>160</v>
      </c>
      <c r="B7" s="12" t="s">
        <v>207</v>
      </c>
      <c r="C7" s="12" t="s">
        <v>208</v>
      </c>
      <c r="D7" s="12" t="s">
        <v>209</v>
      </c>
      <c r="E7" s="12" t="s">
        <v>210</v>
      </c>
      <c r="F7" s="12" t="s">
        <v>211</v>
      </c>
      <c r="G7" s="12" t="s">
        <v>212</v>
      </c>
      <c r="H7" s="12" t="s">
        <v>213</v>
      </c>
      <c r="I7" s="12" t="s">
        <v>214</v>
      </c>
      <c r="J7" s="12" t="s">
        <v>215</v>
      </c>
      <c r="K7" s="12" t="s">
        <v>216</v>
      </c>
      <c r="L7" s="12" t="s">
        <v>217</v>
      </c>
      <c r="M7" s="12" t="s">
        <v>218</v>
      </c>
      <c r="N7" s="12" t="s">
        <v>219</v>
      </c>
      <c r="O7" s="12" t="s">
        <v>220</v>
      </c>
      <c r="P7" s="12" t="s">
        <v>221</v>
      </c>
    </row>
    <row r="8" spans="1:16" x14ac:dyDescent="0.3">
      <c r="A8" s="17" t="str">
        <f>Triangle_Data!A7</f>
        <v>2013</v>
      </c>
      <c r="B8" s="18">
        <f>INDEX(LR_Model!$D$6:$D$17,MATCH(A8,LR_Model!$A$6:$A$17,0))</f>
        <v>6237.5</v>
      </c>
      <c r="C8" s="18">
        <f>Triangle_Data!K7</f>
        <v>4699</v>
      </c>
      <c r="D8" s="18">
        <f>Triangle_Data!K20</f>
        <v>4699</v>
      </c>
      <c r="E8" s="52">
        <f t="shared" ref="E8:E17" si="0">D8-C8</f>
        <v>0</v>
      </c>
      <c r="F8" s="62">
        <v>120</v>
      </c>
      <c r="G8" s="63">
        <f>Chain_Ladder!K26</f>
        <v>1</v>
      </c>
      <c r="H8" s="63">
        <f>Chain_Ladder!K47</f>
        <v>1</v>
      </c>
      <c r="I8" s="52">
        <f t="shared" ref="I8:I17" si="1">C8*G8</f>
        <v>4699</v>
      </c>
      <c r="J8" s="52">
        <f t="shared" ref="J8:J17" si="2">D8*H8</f>
        <v>4699</v>
      </c>
      <c r="K8" s="52">
        <f t="shared" ref="K8:K17" si="3">D8+B8*$D$4*(1-1/H8)</f>
        <v>4699</v>
      </c>
      <c r="L8" s="49">
        <f t="shared" ref="L8:L17" si="4">CHOOSE($D$5,I8,J8,K8)</f>
        <v>4699</v>
      </c>
      <c r="M8" s="52">
        <f t="shared" ref="M8:M17" si="5">L8-D8</f>
        <v>0</v>
      </c>
      <c r="N8" s="52">
        <f t="shared" ref="N8:N17" si="6">L8-C8</f>
        <v>0</v>
      </c>
      <c r="O8" s="31">
        <f t="shared" ref="O8:O18" si="7">IF(B8=0,0,L8/B8)</f>
        <v>0.75334669338677351</v>
      </c>
      <c r="P8" s="52">
        <f>L8-Triangle_Data!L7</f>
        <v>0</v>
      </c>
    </row>
    <row r="9" spans="1:16" x14ac:dyDescent="0.3">
      <c r="A9" s="17" t="str">
        <f>Triangle_Data!A8</f>
        <v>2014</v>
      </c>
      <c r="B9" s="18">
        <f>INDEX(LR_Model!$D$6:$D$17,MATCH(A9,LR_Model!$A$6:$A$17,0))</f>
        <v>6480</v>
      </c>
      <c r="C9" s="18">
        <f>Triangle_Data!J8</f>
        <v>3951</v>
      </c>
      <c r="D9" s="18">
        <f>Triangle_Data!J21</f>
        <v>3955</v>
      </c>
      <c r="E9" s="52">
        <f t="shared" si="0"/>
        <v>4</v>
      </c>
      <c r="F9" s="62">
        <v>108</v>
      </c>
      <c r="G9" s="63">
        <f>Chain_Ladder!J26</f>
        <v>1.0010651896037495</v>
      </c>
      <c r="H9" s="63">
        <f>Chain_Ladder!J47</f>
        <v>1</v>
      </c>
      <c r="I9" s="52">
        <f t="shared" si="1"/>
        <v>3955.2085641244139</v>
      </c>
      <c r="J9" s="52">
        <f t="shared" si="2"/>
        <v>3955</v>
      </c>
      <c r="K9" s="52">
        <f t="shared" si="3"/>
        <v>3955</v>
      </c>
      <c r="L9" s="49">
        <f t="shared" si="4"/>
        <v>3955</v>
      </c>
      <c r="M9" s="52">
        <f t="shared" si="5"/>
        <v>0</v>
      </c>
      <c r="N9" s="52">
        <f t="shared" si="6"/>
        <v>4</v>
      </c>
      <c r="O9" s="31">
        <f t="shared" si="7"/>
        <v>0.6103395061728395</v>
      </c>
      <c r="P9" s="52">
        <f>L9-Triangle_Data!L8</f>
        <v>0</v>
      </c>
    </row>
    <row r="10" spans="1:16" x14ac:dyDescent="0.3">
      <c r="A10" s="17" t="str">
        <f>Triangle_Data!A9</f>
        <v>2015</v>
      </c>
      <c r="B10" s="18">
        <f>INDEX(LR_Model!$D$6:$D$17,MATCH(A10,LR_Model!$A$6:$A$17,0))</f>
        <v>6638.5</v>
      </c>
      <c r="C10" s="18">
        <f>Triangle_Data!I9</f>
        <v>3792</v>
      </c>
      <c r="D10" s="18">
        <f>Triangle_Data!I22</f>
        <v>3798</v>
      </c>
      <c r="E10" s="52">
        <f t="shared" si="0"/>
        <v>6</v>
      </c>
      <c r="F10" s="62">
        <v>96</v>
      </c>
      <c r="G10" s="63">
        <f>Chain_Ladder!I26</f>
        <v>1.0019924237726541</v>
      </c>
      <c r="H10" s="63">
        <f>Chain_Ladder!I47</f>
        <v>1.0004624277456649</v>
      </c>
      <c r="I10" s="52">
        <f t="shared" si="1"/>
        <v>3799.5552709459043</v>
      </c>
      <c r="J10" s="52">
        <f t="shared" si="2"/>
        <v>3799.7563005780353</v>
      </c>
      <c r="K10" s="52">
        <f t="shared" si="3"/>
        <v>3799.902412757107</v>
      </c>
      <c r="L10" s="49">
        <f t="shared" si="4"/>
        <v>3799.7563005780353</v>
      </c>
      <c r="M10" s="52">
        <f t="shared" si="5"/>
        <v>1.7563005780352796</v>
      </c>
      <c r="N10" s="52">
        <f t="shared" si="6"/>
        <v>7.7563005780352796</v>
      </c>
      <c r="O10" s="31">
        <f t="shared" si="7"/>
        <v>0.57238175801431579</v>
      </c>
      <c r="P10" s="52">
        <f>L10-Triangle_Data!L9</f>
        <v>2.7563005780352796</v>
      </c>
    </row>
    <row r="11" spans="1:16" x14ac:dyDescent="0.3">
      <c r="A11" s="17" t="str">
        <f>Triangle_Data!A10</f>
        <v>2016</v>
      </c>
      <c r="B11" s="18">
        <f>INDEX(LR_Model!$D$6:$D$17,MATCH(A11,LR_Model!$A$6:$A$17,0))</f>
        <v>6680</v>
      </c>
      <c r="C11" s="18">
        <f>Triangle_Data!H10</f>
        <v>5472</v>
      </c>
      <c r="D11" s="18">
        <f>Triangle_Data!H23</f>
        <v>5482</v>
      </c>
      <c r="E11" s="52">
        <f t="shared" si="0"/>
        <v>10</v>
      </c>
      <c r="F11" s="62">
        <v>84</v>
      </c>
      <c r="G11" s="63">
        <f>Chain_Ladder!H26</f>
        <v>1.0052275272475839</v>
      </c>
      <c r="H11" s="63">
        <f>Chain_Ladder!H47</f>
        <v>1.0009448883280851</v>
      </c>
      <c r="I11" s="52">
        <f t="shared" si="1"/>
        <v>5500.6050290987787</v>
      </c>
      <c r="J11" s="52">
        <f t="shared" si="2"/>
        <v>5487.179877814563</v>
      </c>
      <c r="K11" s="52">
        <f t="shared" si="3"/>
        <v>5485.9096553119261</v>
      </c>
      <c r="L11" s="49">
        <f t="shared" si="4"/>
        <v>5487.179877814563</v>
      </c>
      <c r="M11" s="52">
        <f t="shared" si="5"/>
        <v>5.1798778145630422</v>
      </c>
      <c r="N11" s="52">
        <f t="shared" si="6"/>
        <v>15.179877814563042</v>
      </c>
      <c r="O11" s="31">
        <f t="shared" si="7"/>
        <v>0.82143411344529382</v>
      </c>
      <c r="P11" s="52">
        <f>L11-Triangle_Data!L10</f>
        <v>-6.8201221854369578</v>
      </c>
    </row>
    <row r="12" spans="1:16" x14ac:dyDescent="0.3">
      <c r="A12" s="17" t="str">
        <f>Triangle_Data!A11</f>
        <v>2017</v>
      </c>
      <c r="B12" s="18">
        <f>INDEX(LR_Model!$D$6:$D$17,MATCH(A12,LR_Model!$A$6:$A$17,0))</f>
        <v>6822.5</v>
      </c>
      <c r="C12" s="18">
        <f>Triangle_Data!G11</f>
        <v>4229</v>
      </c>
      <c r="D12" s="18">
        <f>Triangle_Data!G24</f>
        <v>4288</v>
      </c>
      <c r="E12" s="52">
        <f t="shared" si="0"/>
        <v>59</v>
      </c>
      <c r="F12" s="62">
        <v>72</v>
      </c>
      <c r="G12" s="63">
        <f>Chain_Ladder!G26</f>
        <v>1.0090125246807404</v>
      </c>
      <c r="H12" s="63">
        <f>Chain_Ladder!G47</f>
        <v>0.9971064401929971</v>
      </c>
      <c r="I12" s="52">
        <f t="shared" si="1"/>
        <v>4267.113966874851</v>
      </c>
      <c r="J12" s="52">
        <f t="shared" si="2"/>
        <v>4275.5924155475714</v>
      </c>
      <c r="K12" s="52">
        <f t="shared" si="3"/>
        <v>4275.7248678653978</v>
      </c>
      <c r="L12" s="49">
        <f t="shared" si="4"/>
        <v>4275.5924155475714</v>
      </c>
      <c r="M12" s="52">
        <f t="shared" si="5"/>
        <v>-12.407584452428637</v>
      </c>
      <c r="N12" s="52">
        <f t="shared" si="6"/>
        <v>46.592415547571363</v>
      </c>
      <c r="O12" s="31">
        <f t="shared" si="7"/>
        <v>0.6266899839571376</v>
      </c>
      <c r="P12" s="52">
        <f>L12-Triangle_Data!L11</f>
        <v>-4.4075844524286367</v>
      </c>
    </row>
    <row r="13" spans="1:16" x14ac:dyDescent="0.3">
      <c r="A13" s="17" t="str">
        <f>Triangle_Data!A12</f>
        <v>2018</v>
      </c>
      <c r="B13" s="18">
        <f>INDEX(LR_Model!$D$6:$D$17,MATCH(A13,LR_Model!$A$6:$A$17,0))</f>
        <v>7289.5</v>
      </c>
      <c r="C13" s="18">
        <f>Triangle_Data!F12</f>
        <v>5370</v>
      </c>
      <c r="D13" s="18">
        <f>Triangle_Data!F25</f>
        <v>5527</v>
      </c>
      <c r="E13" s="52">
        <f t="shared" si="0"/>
        <v>157</v>
      </c>
      <c r="F13" s="62">
        <v>60</v>
      </c>
      <c r="G13" s="63">
        <f>Chain_Ladder!F26</f>
        <v>1.0204106548672429</v>
      </c>
      <c r="H13" s="63">
        <f>Chain_Ladder!F47</f>
        <v>0.9997087969194155</v>
      </c>
      <c r="I13" s="52">
        <f t="shared" si="1"/>
        <v>5479.6052166370946</v>
      </c>
      <c r="J13" s="52">
        <f t="shared" si="2"/>
        <v>5525.3905205736091</v>
      </c>
      <c r="K13" s="52">
        <f t="shared" si="3"/>
        <v>5525.6835272284025</v>
      </c>
      <c r="L13" s="49">
        <f t="shared" si="4"/>
        <v>5525.3905205736091</v>
      </c>
      <c r="M13" s="52">
        <f t="shared" si="5"/>
        <v>-1.6094794263908625</v>
      </c>
      <c r="N13" s="52">
        <f t="shared" si="6"/>
        <v>155.39052057360914</v>
      </c>
      <c r="O13" s="31">
        <f t="shared" si="7"/>
        <v>0.75799307504953828</v>
      </c>
      <c r="P13" s="52">
        <f>L13-Triangle_Data!L12</f>
        <v>54.390520573609138</v>
      </c>
    </row>
    <row r="14" spans="1:16" x14ac:dyDescent="0.3">
      <c r="A14" s="17" t="str">
        <f>Triangle_Data!A13</f>
        <v>2019</v>
      </c>
      <c r="B14" s="18">
        <f>INDEX(LR_Model!$D$6:$D$17,MATCH(A14,LR_Model!$A$6:$A$17,0))</f>
        <v>7874.5</v>
      </c>
      <c r="C14" s="18">
        <f>Triangle_Data!E13</f>
        <v>4704</v>
      </c>
      <c r="D14" s="18">
        <f>Triangle_Data!E26</f>
        <v>4968</v>
      </c>
      <c r="E14" s="52">
        <f t="shared" si="0"/>
        <v>264</v>
      </c>
      <c r="F14" s="62">
        <v>48</v>
      </c>
      <c r="G14" s="63">
        <f>Chain_Ladder!E26</f>
        <v>1.0511550126240294</v>
      </c>
      <c r="H14" s="63">
        <f>Chain_Ladder!E47</f>
        <v>1.007661149777116</v>
      </c>
      <c r="I14" s="52">
        <f t="shared" si="1"/>
        <v>4944.6331793834343</v>
      </c>
      <c r="J14" s="52">
        <f t="shared" si="2"/>
        <v>5006.0605920927119</v>
      </c>
      <c r="K14" s="52">
        <f t="shared" si="3"/>
        <v>5005.1188160212496</v>
      </c>
      <c r="L14" s="49">
        <f t="shared" si="4"/>
        <v>5006.0605920927119</v>
      </c>
      <c r="M14" s="52">
        <f t="shared" si="5"/>
        <v>38.060592092711886</v>
      </c>
      <c r="N14" s="52">
        <f t="shared" si="6"/>
        <v>302.06059209271189</v>
      </c>
      <c r="O14" s="31">
        <f t="shared" si="7"/>
        <v>0.63573059776401197</v>
      </c>
      <c r="P14" s="52">
        <f>L14-Triangle_Data!L13</f>
        <v>-8.9394079072881141</v>
      </c>
    </row>
    <row r="15" spans="1:16" x14ac:dyDescent="0.3">
      <c r="A15" s="17" t="str">
        <f>Triangle_Data!A14</f>
        <v>2020</v>
      </c>
      <c r="B15" s="18">
        <f>INDEX(LR_Model!$D$6:$D$17,MATCH(A15,LR_Model!$A$6:$A$17,0))</f>
        <v>8882.5</v>
      </c>
      <c r="C15" s="18">
        <f>Triangle_Data!D14</f>
        <v>5106</v>
      </c>
      <c r="D15" s="18">
        <f>Triangle_Data!D27</f>
        <v>5624</v>
      </c>
      <c r="E15" s="52">
        <f t="shared" si="0"/>
        <v>518</v>
      </c>
      <c r="F15" s="62">
        <v>36</v>
      </c>
      <c r="G15" s="63">
        <f>Chain_Ladder!D26</f>
        <v>1.1109276943804698</v>
      </c>
      <c r="H15" s="63">
        <f>Chain_Ladder!D47</f>
        <v>1.0128345562306773</v>
      </c>
      <c r="I15" s="52">
        <f t="shared" si="1"/>
        <v>5672.3968075066787</v>
      </c>
      <c r="J15" s="52">
        <f t="shared" si="2"/>
        <v>5696.181544241329</v>
      </c>
      <c r="K15" s="52">
        <f t="shared" si="3"/>
        <v>5693.786152053126</v>
      </c>
      <c r="L15" s="49">
        <f t="shared" si="4"/>
        <v>5696.181544241329</v>
      </c>
      <c r="M15" s="52">
        <f t="shared" si="5"/>
        <v>72.181544241328993</v>
      </c>
      <c r="N15" s="52">
        <f t="shared" si="6"/>
        <v>590.18154424132899</v>
      </c>
      <c r="O15" s="31">
        <f t="shared" si="7"/>
        <v>0.64128134469364806</v>
      </c>
      <c r="P15" s="52">
        <f>L15-Triangle_Data!L14</f>
        <v>171.18154424132899</v>
      </c>
    </row>
    <row r="16" spans="1:16" x14ac:dyDescent="0.3">
      <c r="A16" s="17" t="str">
        <f>Triangle_Data!A15</f>
        <v>2021</v>
      </c>
      <c r="B16" s="18">
        <f>INDEX(LR_Model!$D$6:$D$17,MATCH(A16,LR_Model!$A$6:$A$17,0))</f>
        <v>10318</v>
      </c>
      <c r="C16" s="18">
        <f>Triangle_Data!C15</f>
        <v>3681</v>
      </c>
      <c r="D16" s="18">
        <f>Triangle_Data!C28</f>
        <v>4437</v>
      </c>
      <c r="E16" s="52">
        <f t="shared" si="0"/>
        <v>756</v>
      </c>
      <c r="F16" s="62">
        <v>24</v>
      </c>
      <c r="G16" s="63">
        <f>Chain_Ladder!C26</f>
        <v>1.2623745810954459</v>
      </c>
      <c r="H16" s="63">
        <f>Chain_Ladder!C47</f>
        <v>1.0311445229956768</v>
      </c>
      <c r="I16" s="52">
        <f t="shared" si="1"/>
        <v>4646.8008330123366</v>
      </c>
      <c r="J16" s="52">
        <f t="shared" si="2"/>
        <v>4575.1882485318183</v>
      </c>
      <c r="K16" s="52">
        <f t="shared" si="3"/>
        <v>4630.2187896883779</v>
      </c>
      <c r="L16" s="49">
        <f t="shared" si="4"/>
        <v>4575.1882485318183</v>
      </c>
      <c r="M16" s="52">
        <f t="shared" si="5"/>
        <v>138.18824853181832</v>
      </c>
      <c r="N16" s="52">
        <f t="shared" si="6"/>
        <v>894.18824853181832</v>
      </c>
      <c r="O16" s="31">
        <f t="shared" si="7"/>
        <v>0.44341812837098454</v>
      </c>
      <c r="P16" s="52">
        <f>L16-Triangle_Data!L15</f>
        <v>-97.811751468181683</v>
      </c>
    </row>
    <row r="17" spans="1:16" x14ac:dyDescent="0.3">
      <c r="A17" s="17" t="str">
        <f>Triangle_Data!A16</f>
        <v>2022</v>
      </c>
      <c r="B17" s="18">
        <f>INDEX(LR_Model!$D$6:$D$17,MATCH(A17,LR_Model!$A$6:$A$17,0))</f>
        <v>11437</v>
      </c>
      <c r="C17" s="18">
        <f>Triangle_Data!B16</f>
        <v>2939</v>
      </c>
      <c r="D17" s="18">
        <f>Triangle_Data!B29</f>
        <v>4813</v>
      </c>
      <c r="E17" s="52">
        <f t="shared" si="0"/>
        <v>1874</v>
      </c>
      <c r="F17" s="62">
        <v>12</v>
      </c>
      <c r="G17" s="63">
        <f>Chain_Ladder!B26</f>
        <v>1.9389376265889029</v>
      </c>
      <c r="H17" s="63">
        <f>Chain_Ladder!B47</f>
        <v>1.2172646359576593</v>
      </c>
      <c r="I17" s="52">
        <f t="shared" si="1"/>
        <v>5698.5376845447854</v>
      </c>
      <c r="J17" s="52">
        <f t="shared" si="2"/>
        <v>5858.6946928642146</v>
      </c>
      <c r="K17" s="52">
        <f t="shared" si="3"/>
        <v>6078.6331681611364</v>
      </c>
      <c r="L17" s="49">
        <f t="shared" si="4"/>
        <v>5858.6946928642146</v>
      </c>
      <c r="M17" s="52">
        <f t="shared" si="5"/>
        <v>1045.6946928642146</v>
      </c>
      <c r="N17" s="52">
        <f t="shared" si="6"/>
        <v>2919.6946928642146</v>
      </c>
      <c r="O17" s="31">
        <f t="shared" si="7"/>
        <v>0.51225799535404515</v>
      </c>
      <c r="P17" s="52">
        <f>L17-Triangle_Data!L16</f>
        <v>142.69469286421463</v>
      </c>
    </row>
    <row r="18" spans="1:16" x14ac:dyDescent="0.3">
      <c r="A18" s="24" t="s">
        <v>18</v>
      </c>
      <c r="B18" s="25">
        <f>SUM(B8:B17)</f>
        <v>78660</v>
      </c>
      <c r="C18" s="25">
        <f>SUM(C8:C17)</f>
        <v>43943</v>
      </c>
      <c r="D18" s="25">
        <f>SUM(D8:D17)</f>
        <v>47591</v>
      </c>
      <c r="E18" s="25">
        <f>SUM(E8:E17)</f>
        <v>3648</v>
      </c>
      <c r="F18" s="27"/>
      <c r="G18" s="27"/>
      <c r="H18" s="27"/>
      <c r="I18" s="25">
        <f t="shared" ref="I18:N18" si="8">SUM(I8:I17)</f>
        <v>48663.456552128271</v>
      </c>
      <c r="J18" s="25">
        <f t="shared" si="8"/>
        <v>48878.044192243855</v>
      </c>
      <c r="K18" s="25">
        <f t="shared" si="8"/>
        <v>49148.977389086715</v>
      </c>
      <c r="L18" s="25">
        <f t="shared" si="8"/>
        <v>48878.044192243855</v>
      </c>
      <c r="M18" s="25">
        <f t="shared" si="8"/>
        <v>1287.0441922438526</v>
      </c>
      <c r="N18" s="25">
        <f t="shared" si="8"/>
        <v>4935.0441922438531</v>
      </c>
      <c r="O18" s="26">
        <f t="shared" si="7"/>
        <v>0.62138372987851331</v>
      </c>
      <c r="P18" s="25">
        <f>SUM(P8:P17)</f>
        <v>253.04419224385265</v>
      </c>
    </row>
    <row r="19" spans="1:16" x14ac:dyDescent="0.3">
      <c r="A19" s="1"/>
      <c r="B19" s="1"/>
      <c r="C19" s="1"/>
      <c r="D19" s="1"/>
      <c r="E19" s="1"/>
      <c r="F19" s="1"/>
      <c r="G19" s="1"/>
      <c r="H19" s="1"/>
      <c r="I19" s="1"/>
      <c r="J19" s="1"/>
      <c r="K19" s="1"/>
      <c r="L19" s="1"/>
      <c r="M19" s="1"/>
      <c r="N19" s="1"/>
      <c r="O19" s="1"/>
      <c r="P19" s="1"/>
    </row>
    <row r="20" spans="1:16" x14ac:dyDescent="0.3">
      <c r="A20" s="6" t="s">
        <v>222</v>
      </c>
      <c r="B20" s="1"/>
      <c r="C20" s="1"/>
      <c r="D20" s="1"/>
      <c r="E20" s="1"/>
      <c r="F20" s="1"/>
      <c r="G20" s="1"/>
      <c r="H20" s="1"/>
      <c r="I20" s="1"/>
      <c r="J20" s="1"/>
      <c r="K20" s="1"/>
      <c r="L20" s="1"/>
      <c r="M20" s="1"/>
      <c r="N20" s="1"/>
      <c r="O20" s="1"/>
      <c r="P20" s="1"/>
    </row>
    <row r="21" spans="1:16" ht="31.95" customHeight="1" x14ac:dyDescent="0.3">
      <c r="A21" s="12" t="s">
        <v>223</v>
      </c>
      <c r="B21" s="12"/>
      <c r="C21" s="12"/>
      <c r="D21" s="12" t="s">
        <v>224</v>
      </c>
      <c r="E21" s="12" t="s">
        <v>218</v>
      </c>
      <c r="F21" s="12" t="s">
        <v>220</v>
      </c>
      <c r="G21" s="1"/>
      <c r="H21" s="1"/>
      <c r="I21" s="1"/>
      <c r="J21" s="1"/>
      <c r="K21" s="1"/>
      <c r="L21" s="1"/>
      <c r="M21" s="1"/>
      <c r="N21" s="1"/>
      <c r="O21" s="1"/>
      <c r="P21" s="1"/>
    </row>
    <row r="22" spans="1:16" x14ac:dyDescent="0.3">
      <c r="A22" s="73" t="s">
        <v>225</v>
      </c>
      <c r="B22" s="72"/>
      <c r="C22" s="72"/>
      <c r="D22" s="52">
        <f>I18</f>
        <v>48663.456552128271</v>
      </c>
      <c r="E22" s="52">
        <f>D22-D18</f>
        <v>1072.4565521282711</v>
      </c>
      <c r="F22" s="31">
        <f>IF(B18=0,0,D22/B18)</f>
        <v>0.61865568970414786</v>
      </c>
      <c r="G22" s="1"/>
      <c r="H22" s="1"/>
      <c r="I22" s="1"/>
      <c r="J22" s="1"/>
      <c r="K22" s="1"/>
      <c r="L22" s="1"/>
      <c r="M22" s="1"/>
      <c r="N22" s="1"/>
      <c r="O22" s="1"/>
      <c r="P22" s="1"/>
    </row>
    <row r="23" spans="1:16" x14ac:dyDescent="0.3">
      <c r="A23" s="73" t="s">
        <v>226</v>
      </c>
      <c r="B23" s="72"/>
      <c r="C23" s="72"/>
      <c r="D23" s="52">
        <f>J18</f>
        <v>48878.044192243855</v>
      </c>
      <c r="E23" s="52">
        <f>D23-D18</f>
        <v>1287.0441922438549</v>
      </c>
      <c r="F23" s="31">
        <f>IF(B18=0,0,D23/B18)</f>
        <v>0.62138372987851331</v>
      </c>
      <c r="G23" s="1"/>
      <c r="H23" s="1"/>
      <c r="I23" s="1"/>
      <c r="J23" s="1"/>
      <c r="K23" s="1"/>
      <c r="L23" s="1"/>
      <c r="M23" s="1"/>
      <c r="N23" s="1"/>
      <c r="O23" s="1"/>
      <c r="P23" s="1"/>
    </row>
    <row r="24" spans="1:16" x14ac:dyDescent="0.3">
      <c r="A24" s="73" t="s">
        <v>227</v>
      </c>
      <c r="B24" s="72"/>
      <c r="C24" s="72"/>
      <c r="D24" s="52">
        <f>K18</f>
        <v>49148.977389086715</v>
      </c>
      <c r="E24" s="52">
        <f>D24-D18</f>
        <v>1557.9773890867145</v>
      </c>
      <c r="F24" s="31">
        <f>IF(B18=0,0,D24/B18)</f>
        <v>0.62482808783481714</v>
      </c>
      <c r="G24" s="1"/>
      <c r="H24" s="1"/>
      <c r="I24" s="1"/>
      <c r="J24" s="1"/>
      <c r="K24" s="1"/>
      <c r="L24" s="1"/>
      <c r="M24" s="1"/>
      <c r="N24" s="1"/>
      <c r="O24" s="1"/>
      <c r="P24" s="1"/>
    </row>
    <row r="25" spans="1:16" x14ac:dyDescent="0.3">
      <c r="A25" s="73" t="s">
        <v>171</v>
      </c>
      <c r="B25" s="72"/>
      <c r="C25" s="72"/>
      <c r="D25" s="18">
        <f>SUM(Triangle_Data!L7:L16)</f>
        <v>48625</v>
      </c>
      <c r="E25" s="52">
        <f>D25-D18</f>
        <v>1034</v>
      </c>
      <c r="F25" s="31">
        <f>IF(B18=0,0,D25/B18)</f>
        <v>0.61816679379608441</v>
      </c>
      <c r="G25" s="1"/>
      <c r="H25" s="1"/>
      <c r="I25" s="1"/>
      <c r="J25" s="1"/>
      <c r="K25" s="1"/>
      <c r="L25" s="1"/>
      <c r="M25" s="1"/>
      <c r="N25" s="1"/>
      <c r="O25" s="1"/>
      <c r="P25" s="1"/>
    </row>
    <row r="26" spans="1:16" x14ac:dyDescent="0.3">
      <c r="A26" s="1"/>
      <c r="B26" s="1"/>
      <c r="C26" s="1"/>
      <c r="D26" s="1"/>
      <c r="E26" s="1"/>
      <c r="F26" s="1"/>
      <c r="G26" s="1"/>
      <c r="H26" s="1"/>
      <c r="I26" s="1"/>
      <c r="J26" s="1"/>
      <c r="K26" s="1"/>
      <c r="L26" s="1"/>
      <c r="M26" s="1"/>
      <c r="N26" s="1"/>
      <c r="O26" s="1"/>
      <c r="P26" s="1"/>
    </row>
    <row r="27" spans="1:16" x14ac:dyDescent="0.3">
      <c r="A27" s="3" t="s">
        <v>228</v>
      </c>
      <c r="B27" s="1"/>
      <c r="C27" s="1"/>
      <c r="D27" s="1"/>
      <c r="E27" s="1"/>
      <c r="F27" s="1"/>
      <c r="G27" s="1"/>
      <c r="H27" s="1"/>
      <c r="I27" s="1"/>
      <c r="J27" s="1"/>
      <c r="K27" s="1"/>
      <c r="L27" s="1"/>
      <c r="M27" s="1"/>
      <c r="N27" s="1"/>
      <c r="O27" s="1"/>
      <c r="P27" s="1"/>
    </row>
  </sheetData>
  <mergeCells count="4">
    <mergeCell ref="A23:C23"/>
    <mergeCell ref="A24:C24"/>
    <mergeCell ref="A25:C25"/>
    <mergeCell ref="A22:C22"/>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2414-88FA-425F-86FF-09A8068F490C}">
  <sheetPr>
    <tabColor rgb="FFC00000"/>
  </sheetPr>
  <dimension ref="B3:D91"/>
  <sheetViews>
    <sheetView workbookViewId="0">
      <selection activeCell="B1" sqref="B1"/>
    </sheetView>
  </sheetViews>
  <sheetFormatPr defaultRowHeight="14.4" x14ac:dyDescent="0.3"/>
  <cols>
    <col min="2" max="2" width="123.5546875" customWidth="1"/>
  </cols>
  <sheetData>
    <row r="3" spans="2:2" ht="18" x14ac:dyDescent="0.3">
      <c r="B3" s="64" t="s">
        <v>229</v>
      </c>
    </row>
    <row r="5" spans="2:2" ht="28.8" x14ac:dyDescent="0.3">
      <c r="B5" s="66" t="s">
        <v>230</v>
      </c>
    </row>
    <row r="7" spans="2:2" x14ac:dyDescent="0.3">
      <c r="B7" t="s">
        <v>231</v>
      </c>
    </row>
    <row r="8" spans="2:2" x14ac:dyDescent="0.3">
      <c r="B8" s="65"/>
    </row>
    <row r="9" spans="2:2" x14ac:dyDescent="0.3">
      <c r="B9" s="65" t="s">
        <v>232</v>
      </c>
    </row>
    <row r="11" spans="2:2" ht="28.8" x14ac:dyDescent="0.3">
      <c r="B11" s="66" t="s">
        <v>233</v>
      </c>
    </row>
    <row r="13" spans="2:2" ht="18" x14ac:dyDescent="0.3">
      <c r="B13" s="64" t="s">
        <v>234</v>
      </c>
    </row>
    <row r="15" spans="2:2" ht="28.8" x14ac:dyDescent="0.3">
      <c r="B15" s="66" t="s">
        <v>235</v>
      </c>
    </row>
    <row r="16" spans="2:2" x14ac:dyDescent="0.3">
      <c r="B16" s="66"/>
    </row>
    <row r="17" spans="2:2" ht="28.8" x14ac:dyDescent="0.3">
      <c r="B17" s="66" t="s">
        <v>236</v>
      </c>
    </row>
    <row r="18" spans="2:2" x14ac:dyDescent="0.3">
      <c r="B18" s="66"/>
    </row>
    <row r="19" spans="2:2" x14ac:dyDescent="0.3">
      <c r="B19" s="66" t="s">
        <v>237</v>
      </c>
    </row>
    <row r="20" spans="2:2" x14ac:dyDescent="0.3">
      <c r="B20" s="67"/>
    </row>
    <row r="21" spans="2:2" x14ac:dyDescent="0.3">
      <c r="B21" s="68" t="s">
        <v>238</v>
      </c>
    </row>
    <row r="22" spans="2:2" x14ac:dyDescent="0.3">
      <c r="B22" s="68" t="s">
        <v>239</v>
      </c>
    </row>
    <row r="23" spans="2:2" x14ac:dyDescent="0.3">
      <c r="B23" s="68" t="s">
        <v>240</v>
      </c>
    </row>
    <row r="24" spans="2:2" x14ac:dyDescent="0.3">
      <c r="B24" s="66"/>
    </row>
    <row r="25" spans="2:2" x14ac:dyDescent="0.3">
      <c r="B25" s="66" t="s">
        <v>241</v>
      </c>
    </row>
    <row r="26" spans="2:2" x14ac:dyDescent="0.3">
      <c r="B26" s="66"/>
    </row>
    <row r="27" spans="2:2" ht="18" x14ac:dyDescent="0.3">
      <c r="B27" s="69" t="s">
        <v>242</v>
      </c>
    </row>
    <row r="28" spans="2:2" x14ac:dyDescent="0.3">
      <c r="B28" s="66"/>
    </row>
    <row r="29" spans="2:2" x14ac:dyDescent="0.3">
      <c r="B29" s="70" t="s">
        <v>243</v>
      </c>
    </row>
    <row r="30" spans="2:2" x14ac:dyDescent="0.3">
      <c r="B30" s="67"/>
    </row>
    <row r="31" spans="2:2" x14ac:dyDescent="0.3">
      <c r="B31" s="68" t="s">
        <v>244</v>
      </c>
    </row>
    <row r="32" spans="2:2" x14ac:dyDescent="0.3">
      <c r="B32" s="68" t="s">
        <v>245</v>
      </c>
    </row>
    <row r="33" spans="2:2" x14ac:dyDescent="0.3">
      <c r="B33" s="66"/>
    </row>
    <row r="34" spans="2:2" x14ac:dyDescent="0.3">
      <c r="B34" s="66" t="s">
        <v>246</v>
      </c>
    </row>
    <row r="35" spans="2:2" x14ac:dyDescent="0.3">
      <c r="B35" s="66"/>
    </row>
    <row r="36" spans="2:2" ht="28.8" x14ac:dyDescent="0.3">
      <c r="B36" s="66" t="s">
        <v>247</v>
      </c>
    </row>
    <row r="37" spans="2:2" x14ac:dyDescent="0.3">
      <c r="B37" s="66"/>
    </row>
    <row r="38" spans="2:2" ht="28.8" x14ac:dyDescent="0.3">
      <c r="B38" s="66" t="s">
        <v>248</v>
      </c>
    </row>
    <row r="39" spans="2:2" x14ac:dyDescent="0.3">
      <c r="B39" s="66"/>
    </row>
    <row r="40" spans="2:2" ht="18" x14ac:dyDescent="0.3">
      <c r="B40" s="69" t="s">
        <v>249</v>
      </c>
    </row>
    <row r="41" spans="2:2" x14ac:dyDescent="0.3">
      <c r="B41" s="67"/>
    </row>
    <row r="42" spans="2:2" x14ac:dyDescent="0.3">
      <c r="B42" s="68" t="s">
        <v>250</v>
      </c>
    </row>
    <row r="43" spans="2:2" ht="28.8" x14ac:dyDescent="0.3">
      <c r="B43" s="68" t="s">
        <v>251</v>
      </c>
    </row>
    <row r="44" spans="2:2" x14ac:dyDescent="0.3">
      <c r="B44" s="66"/>
    </row>
    <row r="45" spans="2:2" ht="43.2" x14ac:dyDescent="0.3">
      <c r="B45" s="66" t="s">
        <v>252</v>
      </c>
    </row>
    <row r="46" spans="2:2" x14ac:dyDescent="0.3">
      <c r="B46" s="66"/>
    </row>
    <row r="47" spans="2:2" ht="18" x14ac:dyDescent="0.3">
      <c r="B47" s="69" t="s">
        <v>253</v>
      </c>
    </row>
    <row r="48" spans="2:2" x14ac:dyDescent="0.3">
      <c r="B48" s="66"/>
    </row>
    <row r="49" spans="2:4" x14ac:dyDescent="0.3">
      <c r="B49" s="66" t="s">
        <v>254</v>
      </c>
    </row>
    <row r="50" spans="2:4" x14ac:dyDescent="0.3">
      <c r="B50" s="67"/>
    </row>
    <row r="51" spans="2:4" x14ac:dyDescent="0.3">
      <c r="B51" s="67" t="s">
        <v>255</v>
      </c>
    </row>
    <row r="52" spans="2:4" x14ac:dyDescent="0.3">
      <c r="B52" s="66"/>
    </row>
    <row r="53" spans="2:4" x14ac:dyDescent="0.3">
      <c r="B53" s="66" t="s">
        <v>256</v>
      </c>
    </row>
    <row r="54" spans="2:4" x14ac:dyDescent="0.3">
      <c r="B54" s="66"/>
    </row>
    <row r="55" spans="2:4" ht="28.8" x14ac:dyDescent="0.3">
      <c r="B55" s="66" t="s">
        <v>257</v>
      </c>
    </row>
    <row r="56" spans="2:4" x14ac:dyDescent="0.3">
      <c r="B56" s="66"/>
    </row>
    <row r="57" spans="2:4" ht="18" x14ac:dyDescent="0.3">
      <c r="B57" s="69" t="s">
        <v>258</v>
      </c>
    </row>
    <row r="58" spans="2:4" x14ac:dyDescent="0.3">
      <c r="B58" s="66"/>
    </row>
    <row r="59" spans="2:4" ht="28.8" x14ac:dyDescent="0.3">
      <c r="B59" s="66" t="s">
        <v>259</v>
      </c>
    </row>
    <row r="60" spans="2:4" x14ac:dyDescent="0.3">
      <c r="B60" s="66"/>
      <c r="D60" t="s">
        <v>281</v>
      </c>
    </row>
    <row r="61" spans="2:4" ht="43.2" x14ac:dyDescent="0.3">
      <c r="B61" s="66" t="s">
        <v>260</v>
      </c>
    </row>
    <row r="62" spans="2:4" x14ac:dyDescent="0.3">
      <c r="B62" s="66"/>
    </row>
    <row r="63" spans="2:4" x14ac:dyDescent="0.3">
      <c r="B63" s="66" t="s">
        <v>261</v>
      </c>
    </row>
    <row r="64" spans="2:4" x14ac:dyDescent="0.3">
      <c r="B64" s="66"/>
    </row>
    <row r="65" spans="2:2" ht="18" x14ac:dyDescent="0.3">
      <c r="B65" s="69" t="s">
        <v>262</v>
      </c>
    </row>
    <row r="66" spans="2:2" x14ac:dyDescent="0.3">
      <c r="B66" s="66"/>
    </row>
    <row r="67" spans="2:2" x14ac:dyDescent="0.3">
      <c r="B67" s="66" t="s">
        <v>263</v>
      </c>
    </row>
    <row r="68" spans="2:2" x14ac:dyDescent="0.3">
      <c r="B68" s="67"/>
    </row>
    <row r="69" spans="2:2" ht="28.8" x14ac:dyDescent="0.3">
      <c r="B69" s="68" t="s">
        <v>264</v>
      </c>
    </row>
    <row r="70" spans="2:2" ht="28.8" x14ac:dyDescent="0.3">
      <c r="B70" s="68" t="s">
        <v>265</v>
      </c>
    </row>
    <row r="71" spans="2:2" x14ac:dyDescent="0.3">
      <c r="B71" s="68" t="s">
        <v>266</v>
      </c>
    </row>
    <row r="72" spans="2:2" x14ac:dyDescent="0.3">
      <c r="B72" s="68" t="s">
        <v>267</v>
      </c>
    </row>
    <row r="73" spans="2:2" x14ac:dyDescent="0.3">
      <c r="B73" s="68" t="s">
        <v>268</v>
      </c>
    </row>
    <row r="74" spans="2:2" x14ac:dyDescent="0.3">
      <c r="B74" s="68" t="s">
        <v>269</v>
      </c>
    </row>
    <row r="75" spans="2:2" x14ac:dyDescent="0.3">
      <c r="B75" s="68" t="s">
        <v>270</v>
      </c>
    </row>
    <row r="76" spans="2:2" x14ac:dyDescent="0.3">
      <c r="B76" s="68" t="s">
        <v>271</v>
      </c>
    </row>
    <row r="77" spans="2:2" x14ac:dyDescent="0.3">
      <c r="B77" s="66"/>
    </row>
    <row r="78" spans="2:2" ht="28.8" x14ac:dyDescent="0.3">
      <c r="B78" s="66" t="s">
        <v>272</v>
      </c>
    </row>
    <row r="79" spans="2:2" x14ac:dyDescent="0.3">
      <c r="B79" s="66"/>
    </row>
    <row r="80" spans="2:2" ht="18" x14ac:dyDescent="0.3">
      <c r="B80" s="69" t="s">
        <v>273</v>
      </c>
    </row>
    <row r="81" spans="2:2" x14ac:dyDescent="0.3">
      <c r="B81" s="66"/>
    </row>
    <row r="82" spans="2:2" ht="28.8" x14ac:dyDescent="0.3">
      <c r="B82" s="66" t="s">
        <v>274</v>
      </c>
    </row>
    <row r="83" spans="2:2" x14ac:dyDescent="0.3">
      <c r="B83" s="66"/>
    </row>
    <row r="84" spans="2:2" x14ac:dyDescent="0.3">
      <c r="B84" s="66" t="s">
        <v>275</v>
      </c>
    </row>
    <row r="85" spans="2:2" x14ac:dyDescent="0.3">
      <c r="B85" s="67"/>
    </row>
    <row r="86" spans="2:2" x14ac:dyDescent="0.3">
      <c r="B86" s="68" t="s">
        <v>276</v>
      </c>
    </row>
    <row r="87" spans="2:2" x14ac:dyDescent="0.3">
      <c r="B87" s="68" t="s">
        <v>277</v>
      </c>
    </row>
    <row r="88" spans="2:2" x14ac:dyDescent="0.3">
      <c r="B88" s="68" t="s">
        <v>278</v>
      </c>
    </row>
    <row r="89" spans="2:2" x14ac:dyDescent="0.3">
      <c r="B89" s="68" t="s">
        <v>279</v>
      </c>
    </row>
    <row r="90" spans="2:2" x14ac:dyDescent="0.3">
      <c r="B90" s="66"/>
    </row>
    <row r="91" spans="2:2" x14ac:dyDescent="0.3">
      <c r="B91" s="66"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Inputs</vt:lpstr>
      <vt:lpstr>LR_Model</vt:lpstr>
      <vt:lpstr>Line_Comparison_2022</vt:lpstr>
      <vt:lpstr>Benchmarks</vt:lpstr>
      <vt:lpstr>Calculator</vt:lpstr>
      <vt:lpstr>Triangle_Data</vt:lpstr>
      <vt:lpstr>Chain_Ladder</vt:lpstr>
      <vt:lpstr>Reserve_Summary</vt:lpstr>
      <vt:lpstr>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Judin Rose George</cp:lastModifiedBy>
  <dcterms:created xsi:type="dcterms:W3CDTF">2026-10-28T14:45:18Z</dcterms:created>
  <dcterms:modified xsi:type="dcterms:W3CDTF">2026-10-28T17:15:17Z</dcterms:modified>
</cp:coreProperties>
</file>